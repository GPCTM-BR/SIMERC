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UILHERME\UNIFESP\9 Semestre\TCC-I\Validação da simulação\AJUSTE PSI E PHI\"/>
    </mc:Choice>
  </mc:AlternateContent>
  <xr:revisionPtr revIDLastSave="0" documentId="13_ncr:1_{F75F4EAA-2861-4EB3-9850-A476DD92D38A}" xr6:coauthVersionLast="47" xr6:coauthVersionMax="47" xr10:uidLastSave="{00000000-0000-0000-0000-000000000000}"/>
  <bookViews>
    <workbookView xWindow="-108" yWindow="-108" windowWidth="23256" windowHeight="12456" xr2:uid="{E8F957EC-087C-40C5-8F2C-54369A3E2507}"/>
  </bookViews>
  <sheets>
    <sheet name="R141b" sheetId="6" r:id="rId1"/>
    <sheet name="R134a" sheetId="2" r:id="rId2"/>
    <sheet name="R1234ze(E)" sheetId="8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5" i="8" l="1"/>
  <c r="J14" i="8"/>
  <c r="J13" i="8"/>
  <c r="J12" i="8"/>
  <c r="J11" i="8"/>
  <c r="J10" i="8"/>
  <c r="J9" i="8"/>
  <c r="J8" i="8"/>
  <c r="J7" i="8"/>
  <c r="J6" i="8"/>
  <c r="J5" i="8"/>
  <c r="J4" i="8"/>
  <c r="J3" i="8"/>
  <c r="J2" i="8"/>
  <c r="K15" i="8" l="1"/>
  <c r="K14" i="8"/>
  <c r="K3" i="8"/>
  <c r="K4" i="8"/>
  <c r="K5" i="8"/>
  <c r="K6" i="8"/>
  <c r="K7" i="8"/>
  <c r="K8" i="8"/>
  <c r="K9" i="8"/>
  <c r="K10" i="8"/>
  <c r="K11" i="8"/>
  <c r="K12" i="8"/>
  <c r="K13" i="8"/>
  <c r="K2" i="8"/>
  <c r="I14" i="8" a="1"/>
  <c r="L14" i="8" l="1"/>
  <c r="L15" i="8"/>
  <c r="I14" i="8"/>
  <c r="D25" i="6" a="1"/>
  <c r="I5" i="8" a="1"/>
  <c r="B18" i="6" a="1"/>
  <c r="B5" i="6" a="1"/>
  <c r="I7" i="8" a="1"/>
  <c r="D7" i="6" a="1"/>
  <c r="D39" i="6" a="1"/>
  <c r="B9" i="8" a="1"/>
  <c r="D37" i="6" a="1"/>
  <c r="B6" i="8" a="1"/>
  <c r="B4" i="8" a="1"/>
  <c r="D40" i="6" a="1"/>
  <c r="B12" i="6" a="1"/>
  <c r="B26" i="6" a="1"/>
  <c r="B32" i="6" a="1"/>
  <c r="B33" i="6" a="1"/>
  <c r="D38" i="6" a="1"/>
  <c r="I9" i="8" a="1"/>
  <c r="D27" i="6" a="1"/>
  <c r="D36" i="6" a="1"/>
  <c r="D10" i="6" a="1"/>
  <c r="D29" i="6" a="1"/>
  <c r="B13" i="8" a="1"/>
  <c r="D18" i="6" a="1"/>
  <c r="D20" i="6" a="1"/>
  <c r="B37" i="6" a="1"/>
  <c r="B8" i="8" a="1"/>
  <c r="B14" i="6" a="1"/>
  <c r="I15" i="8" a="1"/>
  <c r="B38" i="6" a="1"/>
  <c r="I10" i="8" a="1"/>
  <c r="B17" i="6" a="1"/>
  <c r="D32" i="6" a="1"/>
  <c r="D23" i="6" a="1"/>
  <c r="D8" i="6" a="1"/>
  <c r="B15" i="6" a="1"/>
  <c r="B3" i="6" a="1"/>
  <c r="B27" i="6" a="1"/>
  <c r="I2" i="8" a="1"/>
  <c r="B29" i="6" a="1"/>
  <c r="B25" i="6" a="1"/>
  <c r="I4" i="8" a="1"/>
  <c r="B30" i="6" a="1"/>
  <c r="D17" i="6" a="1"/>
  <c r="D24" i="6" a="1"/>
  <c r="B16" i="6" a="1"/>
  <c r="D4" i="8" a="1"/>
  <c r="B9" i="6" a="1"/>
  <c r="D6" i="8" a="1"/>
  <c r="D30" i="6" a="1"/>
  <c r="B11" i="6" a="1"/>
  <c r="D5" i="8" a="1"/>
  <c r="B11" i="8" a="1"/>
  <c r="D2" i="6" a="1"/>
  <c r="D9" i="8" a="1"/>
  <c r="D9" i="6" a="1"/>
  <c r="B24" i="6" a="1"/>
  <c r="I8" i="8" a="1"/>
  <c r="D31" i="6" a="1"/>
  <c r="D34" i="6" a="1"/>
  <c r="D16" i="6" a="1"/>
  <c r="B7" i="6" a="1"/>
  <c r="D13" i="6" a="1"/>
  <c r="D6" i="6" a="1"/>
  <c r="B5" i="8" a="1"/>
  <c r="D21" i="6" a="1"/>
  <c r="B2" i="8" a="1"/>
  <c r="B31" i="6" a="1"/>
  <c r="D10" i="8" a="1"/>
  <c r="D35" i="6" a="1"/>
  <c r="D15" i="6" a="1"/>
  <c r="D4" i="6" a="1"/>
  <c r="B10" i="6" a="1"/>
  <c r="D8" i="8" a="1"/>
  <c r="B28" i="6" a="1"/>
  <c r="B3" i="8" a="1"/>
  <c r="D22" i="6" a="1"/>
  <c r="B36" i="6" a="1"/>
  <c r="B2" i="6" a="1"/>
  <c r="B23" i="6" a="1"/>
  <c r="B22" i="6" a="1"/>
  <c r="D26" i="6" a="1"/>
  <c r="D33" i="6" a="1"/>
  <c r="D28" i="6" a="1"/>
  <c r="B19" i="6" a="1"/>
  <c r="D13" i="8" a="1"/>
  <c r="D3" i="6" a="1"/>
  <c r="D14" i="6" a="1"/>
  <c r="D19" i="6" a="1"/>
  <c r="B7" i="8" a="1"/>
  <c r="I11" i="8" a="1"/>
  <c r="B21" i="6" a="1"/>
  <c r="B35" i="6" a="1"/>
  <c r="D3" i="8" a="1"/>
  <c r="I12" i="8" a="1"/>
  <c r="I6" i="8" a="1"/>
  <c r="D12" i="8" a="1"/>
  <c r="B39" i="6" a="1"/>
  <c r="B8" i="6" a="1"/>
  <c r="I13" i="8" a="1"/>
  <c r="D12" i="6" a="1"/>
  <c r="B6" i="6" a="1"/>
  <c r="D2" i="8" a="1"/>
  <c r="B20" i="6" a="1"/>
  <c r="B12" i="8" a="1"/>
  <c r="B10" i="8" a="1"/>
  <c r="B40" i="6" a="1"/>
  <c r="B34" i="6" a="1"/>
  <c r="I3" i="8" a="1"/>
  <c r="D11" i="8" a="1"/>
  <c r="B4" i="6" a="1"/>
  <c r="D11" i="6" a="1"/>
  <c r="B13" i="6" a="1"/>
  <c r="D7" i="8" a="1"/>
  <c r="D5" i="6" a="1"/>
  <c r="I15" i="8" l="1"/>
  <c r="D5" i="6"/>
  <c r="D31" i="6"/>
  <c r="D10" i="6"/>
  <c r="D34" i="6"/>
  <c r="B9" i="6"/>
  <c r="B23" i="6"/>
  <c r="I8" i="8"/>
  <c r="D11" i="8"/>
  <c r="B5" i="8"/>
  <c r="D19" i="6"/>
  <c r="D14" i="6"/>
  <c r="B11" i="8"/>
  <c r="D9" i="6"/>
  <c r="D8" i="8"/>
  <c r="D12" i="6"/>
  <c r="I12" i="8"/>
  <c r="D3" i="8"/>
  <c r="B37" i="6"/>
  <c r="D6" i="8"/>
  <c r="D15" i="6"/>
  <c r="B14" i="6"/>
  <c r="B38" i="6"/>
  <c r="B24" i="6"/>
  <c r="D18" i="6"/>
  <c r="D16" i="6"/>
  <c r="B35" i="6"/>
  <c r="B12" i="8"/>
  <c r="D21" i="6"/>
  <c r="B2" i="8"/>
  <c r="B20" i="6"/>
  <c r="B2" i="6"/>
  <c r="D23" i="6"/>
  <c r="B4" i="6"/>
  <c r="B29" i="6"/>
  <c r="D9" i="8"/>
  <c r="D33" i="6"/>
  <c r="D2" i="8"/>
  <c r="B32" i="6"/>
  <c r="D29" i="6"/>
  <c r="B10" i="8"/>
  <c r="D5" i="8"/>
  <c r="D11" i="6"/>
  <c r="D4" i="6"/>
  <c r="B26" i="6"/>
  <c r="B40" i="6"/>
  <c r="B8" i="8"/>
  <c r="D20" i="6"/>
  <c r="D39" i="6"/>
  <c r="I5" i="8"/>
  <c r="D4" i="8"/>
  <c r="B3" i="8"/>
  <c r="D3" i="6"/>
  <c r="B33" i="6"/>
  <c r="I9" i="8"/>
  <c r="B6" i="6"/>
  <c r="D8" i="6"/>
  <c r="B12" i="6"/>
  <c r="D35" i="6"/>
  <c r="B21" i="6"/>
  <c r="B27" i="6"/>
  <c r="B31" i="6"/>
  <c r="B22" i="6"/>
  <c r="I4" i="8"/>
  <c r="D36" i="6"/>
  <c r="D22" i="6"/>
  <c r="B10" i="6"/>
  <c r="I11" i="8"/>
  <c r="D13" i="6"/>
  <c r="B25" i="6"/>
  <c r="B13" i="6"/>
  <c r="B9" i="8"/>
  <c r="B5" i="6"/>
  <c r="B19" i="6"/>
  <c r="D7" i="6"/>
  <c r="D26" i="6"/>
  <c r="B6" i="8"/>
  <c r="B28" i="6"/>
  <c r="D40" i="6"/>
  <c r="I3" i="8"/>
  <c r="B4" i="8"/>
  <c r="D37" i="6"/>
  <c r="D28" i="6"/>
  <c r="B36" i="6"/>
  <c r="B3" i="6"/>
  <c r="D38" i="6"/>
  <c r="B34" i="6"/>
  <c r="I2" i="8"/>
  <c r="D30" i="6"/>
  <c r="B30" i="6"/>
  <c r="D7" i="8"/>
  <c r="B16" i="6"/>
  <c r="D17" i="6"/>
  <c r="B13" i="8"/>
  <c r="D10" i="8"/>
  <c r="B7" i="8"/>
  <c r="B17" i="6"/>
  <c r="D25" i="6"/>
  <c r="D27" i="6"/>
  <c r="D13" i="8"/>
  <c r="D24" i="6"/>
  <c r="B11" i="6"/>
  <c r="D12" i="8"/>
  <c r="D32" i="6"/>
  <c r="B15" i="6"/>
  <c r="I7" i="8"/>
  <c r="B39" i="6"/>
  <c r="D6" i="6"/>
  <c r="B18" i="6"/>
  <c r="I6" i="8"/>
  <c r="B8" i="6"/>
  <c r="B7" i="6"/>
  <c r="I13" i="8"/>
  <c r="D2" i="6"/>
  <c r="I10" i="8"/>
  <c r="L2" i="8" l="1"/>
  <c r="L5" i="8"/>
  <c r="L4" i="8"/>
  <c r="L7" i="8"/>
  <c r="L13" i="8"/>
  <c r="L3" i="8"/>
  <c r="L6" i="8"/>
  <c r="L12" i="8"/>
  <c r="L11" i="8"/>
  <c r="L8" i="8"/>
  <c r="L9" i="8"/>
  <c r="L1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<sst xmlns="http://schemas.openxmlformats.org/spreadsheetml/2006/main" count="48" uniqueCount="27">
  <si>
    <t>dt</t>
  </si>
  <si>
    <t>dp1</t>
  </si>
  <si>
    <t>d3</t>
  </si>
  <si>
    <t>An experimental investigation of a R-134a ejector refrigeration system</t>
  </si>
  <si>
    <t>Experimental investigation on a R134a ejector refrigeration system under overall modes</t>
  </si>
  <si>
    <t>Ts0</t>
  </si>
  <si>
    <t>Ps0</t>
  </si>
  <si>
    <t>Tp0</t>
  </si>
  <si>
    <t>Pp0</t>
  </si>
  <si>
    <t>Pd*</t>
  </si>
  <si>
    <t>Tc*</t>
  </si>
  <si>
    <t>w</t>
  </si>
  <si>
    <t>Drop-in replacement in a R134 ejector refrigeration cycle by HFO refrigerants</t>
  </si>
  <si>
    <t>w Cardemil e Colle (2012)</t>
  </si>
  <si>
    <t>Pd* Cardemil e Colle (2012)</t>
  </si>
  <si>
    <t>Ar</t>
  </si>
  <si>
    <t>Pr</t>
  </si>
  <si>
    <t>Investigations of thermal performance of ejection refrigeration system driven by low grade heat</t>
  </si>
  <si>
    <t>FONTE</t>
  </si>
  <si>
    <t>https://doi.org/10.1016/j.ijrefrig.2014.05.028</t>
  </si>
  <si>
    <t>https://doi.org/10.1016/j.applthermaleng.2018.03.102</t>
  </si>
  <si>
    <t>CFD Based Design for Ejector Cooling System Using HFOS (1234ze(E) and 1234yf)</t>
  </si>
  <si>
    <t>https://doi.org/10.3390/en13061408</t>
  </si>
  <si>
    <t>https://doi.org/10.1016/j.ijrefrig.2017.02.028</t>
  </si>
  <si>
    <t>https://doi.org/10.1016/j.applthermaleng.2017.11.093</t>
  </si>
  <si>
    <t>A 1-D analysis of ejector performance</t>
  </si>
  <si>
    <t>https://doi.org/10.1016/S0140-7007(99)00004-3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</si>
</sst>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/>
    <xf numFmtId="1" fontId="0" fillId="0" borderId="0" xfId="0" applyNumberFormat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1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15" xfId="0" applyFill="1" applyBorder="1"/>
    <xf numFmtId="166" fontId="0" fillId="2" borderId="14" xfId="0" applyNumberFormat="1" applyFill="1" applyBorder="1"/>
    <xf numFmtId="166" fontId="0" fillId="2" borderId="15" xfId="0" applyNumberFormat="1" applyFill="1" applyBorder="1"/>
    <xf numFmtId="0" fontId="3" fillId="2" borderId="14" xfId="2" applyFill="1" applyBorder="1"/>
    <xf numFmtId="0" fontId="1" fillId="2" borderId="0" xfId="0" applyFont="1" applyFill="1"/>
    <xf numFmtId="0" fontId="0" fillId="2" borderId="13" xfId="0" applyFill="1" applyBorder="1" applyAlignment="1">
      <alignment wrapText="1"/>
    </xf>
    <xf numFmtId="0" fontId="3" fillId="2" borderId="15" xfId="2" applyFill="1" applyBorder="1"/>
    <xf numFmtId="0" fontId="4" fillId="2" borderId="9" xfId="1" applyFont="1" applyFill="1" applyBorder="1"/>
    <xf numFmtId="0" fontId="4" fillId="2" borderId="10" xfId="1" applyFont="1" applyFill="1" applyBorder="1"/>
    <xf numFmtId="0" fontId="4" fillId="2" borderId="11" xfId="1" applyFont="1" applyFill="1" applyBorder="1"/>
    <xf numFmtId="0" fontId="2" fillId="2" borderId="1" xfId="1" applyFill="1" applyBorder="1"/>
    <xf numFmtId="0" fontId="2" fillId="2" borderId="2" xfId="1" applyFill="1" applyBorder="1"/>
    <xf numFmtId="0" fontId="2" fillId="2" borderId="3" xfId="0" applyFont="1" applyFill="1" applyBorder="1"/>
    <xf numFmtId="0" fontId="2" fillId="2" borderId="4" xfId="1" applyFill="1" applyBorder="1"/>
    <xf numFmtId="0" fontId="2" fillId="2" borderId="0" xfId="1" applyFill="1" applyBorder="1"/>
    <xf numFmtId="0" fontId="3" fillId="2" borderId="5" xfId="2" applyFill="1" applyBorder="1"/>
    <xf numFmtId="0" fontId="2" fillId="2" borderId="5" xfId="1" applyFill="1" applyBorder="1"/>
    <xf numFmtId="0" fontId="2" fillId="2" borderId="6" xfId="1" applyFill="1" applyBorder="1"/>
    <xf numFmtId="0" fontId="2" fillId="2" borderId="7" xfId="1" applyFill="1" applyBorder="1"/>
    <xf numFmtId="0" fontId="2" fillId="2" borderId="8" xfId="1" applyFill="1" applyBorder="1"/>
    <xf numFmtId="0" fontId="2" fillId="2" borderId="3" xfId="1" applyFill="1" applyBorder="1"/>
    <xf numFmtId="0" fontId="4" fillId="2" borderId="12" xfId="1" applyFont="1" applyFill="1" applyBorder="1"/>
  </cellXfs>
  <cellStyles count="3">
    <cellStyle name="Hiperlink" xfId="2" builtinId="8"/>
    <cellStyle name="Normal" xfId="0" builtinId="0"/>
    <cellStyle name="Normal 2" xfId="1" xr:uid="{FB85EAFF-E19E-4C6E-8188-EFB5A936A2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ilh\AppData\Roaming\Microsoft\AddIns\CoolProp.xlam" TargetMode="External"/><Relationship Id="rId1" Type="http://schemas.openxmlformats.org/officeDocument/2006/relationships/externalLinkPath" Target="file:///C:\Users\guilh\AppData\Roaming\Microsoft\AddIns\CoolProp.xla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UILHERME\UNIFESP\9%20Semestre\TCC-I\Valida&#231;&#227;o%20da%20simula&#231;&#227;o\AJUSTE%20PSI%20E%20PHI\Fluidos%20dados.xlsx" TargetMode="External"/><Relationship Id="rId1" Type="http://schemas.openxmlformats.org/officeDocument/2006/relationships/externalLinkPath" Target="Fluidos%20d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141b"/>
      <sheetName val="R1234ze(E) (2)"/>
      <sheetName val="R134a"/>
      <sheetName val="R134a - Dados Brutos"/>
      <sheetName val="R1234ze(E) -3"/>
      <sheetName val="R1234ze(E) - Dados Brutos"/>
      <sheetName val="R1234ze(E) - gráfico"/>
      <sheetName val="R1234ze(E)"/>
    </sheetNames>
    <sheetDataSet>
      <sheetData sheetId="0"/>
      <sheetData sheetId="1"/>
      <sheetData sheetId="2"/>
      <sheetData sheetId="3"/>
      <sheetData sheetId="4"/>
      <sheetData sheetId="5">
        <row r="33">
          <cell r="E33">
            <v>0.24</v>
          </cell>
        </row>
        <row r="34">
          <cell r="E34">
            <v>0.40799999999999997</v>
          </cell>
        </row>
      </sheetData>
      <sheetData sheetId="6">
        <row r="2">
          <cell r="H2">
            <v>0.84554455445544563</v>
          </cell>
        </row>
        <row r="3">
          <cell r="H3">
            <v>0.70207920792079204</v>
          </cell>
        </row>
        <row r="4">
          <cell r="H4">
            <v>0.55980198019801986</v>
          </cell>
        </row>
        <row r="5">
          <cell r="H5">
            <v>0.35148514851485146</v>
          </cell>
        </row>
        <row r="6">
          <cell r="H6">
            <v>0.23910891089108913</v>
          </cell>
        </row>
        <row r="7">
          <cell r="H7">
            <v>0.46761904761904766</v>
          </cell>
        </row>
        <row r="8">
          <cell r="H8">
            <v>0.59504761904761927</v>
          </cell>
        </row>
        <row r="9">
          <cell r="H9">
            <v>0.33461538461538465</v>
          </cell>
        </row>
        <row r="10">
          <cell r="H10">
            <v>0.44183673469387758</v>
          </cell>
        </row>
        <row r="11">
          <cell r="H11">
            <v>0.52010000000000001</v>
          </cell>
        </row>
        <row r="12">
          <cell r="H12">
            <v>0.44419999999999998</v>
          </cell>
        </row>
        <row r="13">
          <cell r="H13">
            <v>0.39069999999999999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S0140-7007(99)00004-3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ijrefrig.2014.05.028" TargetMode="External"/><Relationship Id="rId1" Type="http://schemas.openxmlformats.org/officeDocument/2006/relationships/hyperlink" Target="https://doi.org/10.1016/j.applthermaleng.2018.03.10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applthermaleng.2017.11.093" TargetMode="External"/><Relationship Id="rId2" Type="http://schemas.openxmlformats.org/officeDocument/2006/relationships/hyperlink" Target="https://doi.org/10.1016/j.ijrefrig.2017.02.028" TargetMode="External"/><Relationship Id="rId1" Type="http://schemas.openxmlformats.org/officeDocument/2006/relationships/hyperlink" Target="https://doi.org/10.3390/en130614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2DE0-2481-4046-B6F5-C208447384FF}">
  <dimension ref="A1:L40"/>
  <sheetViews>
    <sheetView tabSelected="1" workbookViewId="0">
      <selection activeCell="L11" sqref="L11"/>
    </sheetView>
  </sheetViews>
  <sheetFormatPr defaultRowHeight="15.6" x14ac:dyDescent="0.3"/>
  <cols>
    <col min="1" max="1" width="8.88671875" style="1"/>
    <col min="2" max="2" width="9.33203125" style="1" bestFit="1" customWidth="1"/>
    <col min="3" max="7" width="8.88671875" style="1"/>
    <col min="8" max="8" width="26.5546875" style="1" bestFit="1" customWidth="1"/>
    <col min="9" max="9" width="24.44140625" style="1" bestFit="1" customWidth="1"/>
    <col min="10" max="10" width="26.5546875" style="1" bestFit="1" customWidth="1"/>
    <col min="11" max="11" width="24.44140625" style="1" bestFit="1" customWidth="1"/>
    <col min="12" max="12" width="40.5546875" style="1" bestFit="1" customWidth="1"/>
    <col min="13" max="16384" width="8.88671875" style="1"/>
  </cols>
  <sheetData>
    <row r="1" spans="1:12" x14ac:dyDescent="0.3">
      <c r="A1" s="25" t="s">
        <v>7</v>
      </c>
      <c r="B1" s="26" t="s">
        <v>8</v>
      </c>
      <c r="C1" s="26" t="s">
        <v>5</v>
      </c>
      <c r="D1" s="26" t="s">
        <v>6</v>
      </c>
      <c r="E1" s="26" t="s">
        <v>0</v>
      </c>
      <c r="F1" s="26" t="s">
        <v>1</v>
      </c>
      <c r="G1" s="26" t="s">
        <v>2</v>
      </c>
      <c r="H1" s="26" t="s">
        <v>11</v>
      </c>
      <c r="I1" s="26" t="s">
        <v>9</v>
      </c>
      <c r="J1" s="26" t="s">
        <v>14</v>
      </c>
      <c r="K1" s="27" t="s">
        <v>13</v>
      </c>
      <c r="L1" s="39" t="s">
        <v>18</v>
      </c>
    </row>
    <row r="2" spans="1:12" x14ac:dyDescent="0.3">
      <c r="A2" s="28">
        <v>368.15</v>
      </c>
      <c r="B2" s="29" cm="1">
        <f t="array" ref="B2">[1]!PropsSI("P","T",A2,"Q",1,"R141b")</f>
        <v>604786.48587900377</v>
      </c>
      <c r="C2" s="29">
        <v>281.14999999999998</v>
      </c>
      <c r="D2" s="29" cm="1">
        <f t="array" ref="D2">[1]!PropsSI("P","T",C2,"Q",1,"R141b")</f>
        <v>39972.855361062735</v>
      </c>
      <c r="E2" s="29">
        <v>2.82</v>
      </c>
      <c r="F2" s="29">
        <v>5.0999999999999996</v>
      </c>
      <c r="G2" s="29">
        <v>9.1999999999999993</v>
      </c>
      <c r="H2" s="29">
        <v>0.43769999999999998</v>
      </c>
      <c r="I2" s="29">
        <v>98698.510808673644</v>
      </c>
      <c r="J2" s="29">
        <v>97300</v>
      </c>
      <c r="K2" s="38">
        <v>0.45290000000000002</v>
      </c>
      <c r="L2" s="30" t="s">
        <v>25</v>
      </c>
    </row>
    <row r="3" spans="1:12" x14ac:dyDescent="0.3">
      <c r="A3" s="31">
        <v>368.15</v>
      </c>
      <c r="B3" s="32" cm="1">
        <f t="array" ref="B3">[1]!PropsSI("P","T",A3,"Q",1,"R141b")</f>
        <v>604786.48587900377</v>
      </c>
      <c r="C3" s="32">
        <v>281.14999999999998</v>
      </c>
      <c r="D3" s="32" cm="1">
        <f t="array" ref="D3">[1]!PropsSI("P","T",C3,"Q",1,"R141b")</f>
        <v>39972.855361062735</v>
      </c>
      <c r="E3" s="32">
        <v>2.82</v>
      </c>
      <c r="F3" s="32">
        <v>5.0999999999999996</v>
      </c>
      <c r="G3" s="32">
        <v>8.84</v>
      </c>
      <c r="H3" s="32">
        <v>0.39369999999999999</v>
      </c>
      <c r="I3" s="32">
        <v>104768.6132950086</v>
      </c>
      <c r="J3" s="32">
        <v>103230</v>
      </c>
      <c r="K3" s="34">
        <v>0.3992</v>
      </c>
      <c r="L3" s="33" t="s">
        <v>26</v>
      </c>
    </row>
    <row r="4" spans="1:12" x14ac:dyDescent="0.3">
      <c r="A4" s="31">
        <v>368.15</v>
      </c>
      <c r="B4" s="32" cm="1">
        <f t="array" ref="B4">[1]!PropsSI("P","T",A4,"Q",1,"R141b")</f>
        <v>604786.48587900377</v>
      </c>
      <c r="C4" s="32">
        <v>281.14999999999998</v>
      </c>
      <c r="D4" s="32" cm="1">
        <f t="array" ref="D4">[1]!PropsSI("P","T",C4,"Q",1,"R141b")</f>
        <v>39972.855361062735</v>
      </c>
      <c r="E4" s="32">
        <v>2.64</v>
      </c>
      <c r="F4" s="32">
        <v>4.5</v>
      </c>
      <c r="G4" s="32">
        <v>8.1</v>
      </c>
      <c r="H4" s="32">
        <v>0.34570000000000001</v>
      </c>
      <c r="I4" s="32">
        <v>106979.34472762802</v>
      </c>
      <c r="J4" s="32">
        <v>106430</v>
      </c>
      <c r="K4" s="34">
        <v>0.37290000000000001</v>
      </c>
      <c r="L4" s="34"/>
    </row>
    <row r="5" spans="1:12" x14ac:dyDescent="0.3">
      <c r="A5" s="31">
        <v>368.15</v>
      </c>
      <c r="B5" s="32" cm="1">
        <f t="array" ref="B5">[1]!PropsSI("P","T",A5,"Q",1,"R141b")</f>
        <v>604786.48587900377</v>
      </c>
      <c r="C5" s="32">
        <v>281.14999999999998</v>
      </c>
      <c r="D5" s="32" cm="1">
        <f t="array" ref="D5">[1]!PropsSI("P","T",C5,"Q",1,"R141b")</f>
        <v>39972.855361062735</v>
      </c>
      <c r="E5" s="32">
        <v>2.82</v>
      </c>
      <c r="F5" s="32">
        <v>5.0999999999999996</v>
      </c>
      <c r="G5" s="32">
        <v>8.5399999999999991</v>
      </c>
      <c r="H5" s="32">
        <v>0.35049999999999998</v>
      </c>
      <c r="I5" s="32">
        <v>109226.38157534032</v>
      </c>
      <c r="J5" s="32">
        <v>108610</v>
      </c>
      <c r="K5" s="34">
        <v>0.35589999999999999</v>
      </c>
      <c r="L5" s="34"/>
    </row>
    <row r="6" spans="1:12" x14ac:dyDescent="0.3">
      <c r="A6" s="31">
        <v>368.15</v>
      </c>
      <c r="B6" s="32" cm="1">
        <f t="array" ref="B6">[1]!PropsSI("P","T",A6,"Q",1,"R141b")</f>
        <v>604786.48587900377</v>
      </c>
      <c r="C6" s="32">
        <v>281.14999999999998</v>
      </c>
      <c r="D6" s="32" cm="1">
        <f t="array" ref="D6">[1]!PropsSI("P","T",C6,"Q",1,"R141b")</f>
        <v>39972.855361062735</v>
      </c>
      <c r="E6" s="32">
        <v>2.64</v>
      </c>
      <c r="F6" s="32">
        <v>4.5</v>
      </c>
      <c r="G6" s="32">
        <v>7.6</v>
      </c>
      <c r="H6" s="32">
        <v>0.28139999999999998</v>
      </c>
      <c r="I6" s="32">
        <v>117382.78450940497</v>
      </c>
      <c r="J6" s="32">
        <v>116820</v>
      </c>
      <c r="K6" s="34">
        <v>0.29799999999999999</v>
      </c>
      <c r="L6" s="34"/>
    </row>
    <row r="7" spans="1:12" x14ac:dyDescent="0.3">
      <c r="A7" s="31">
        <v>368.15</v>
      </c>
      <c r="B7" s="32" cm="1">
        <f t="array" ref="B7">[1]!PropsSI("P","T",A7,"Q",1,"R141b")</f>
        <v>604786.48587900377</v>
      </c>
      <c r="C7" s="32">
        <v>281.14999999999998</v>
      </c>
      <c r="D7" s="32" cm="1">
        <f t="array" ref="D7">[1]!PropsSI("P","T",C7,"Q",1,"R141b")</f>
        <v>39972.855361062735</v>
      </c>
      <c r="E7" s="32">
        <v>2.82</v>
      </c>
      <c r="F7" s="32">
        <v>5.0999999999999996</v>
      </c>
      <c r="G7" s="32">
        <v>8.1</v>
      </c>
      <c r="H7" s="32">
        <v>0.29020000000000001</v>
      </c>
      <c r="I7" s="32">
        <v>120611.93797241685</v>
      </c>
      <c r="J7" s="32">
        <v>117330</v>
      </c>
      <c r="K7" s="34">
        <v>0.29499999999999998</v>
      </c>
      <c r="L7" s="34"/>
    </row>
    <row r="8" spans="1:12" x14ac:dyDescent="0.3">
      <c r="A8" s="31">
        <v>368.15</v>
      </c>
      <c r="B8" s="32" cm="1">
        <f t="array" ref="B8">[1]!PropsSI("P","T",A8,"Q",1,"R141b")</f>
        <v>604786.48587900377</v>
      </c>
      <c r="C8" s="32">
        <v>281.14999999999998</v>
      </c>
      <c r="D8" s="32" cm="1">
        <f t="array" ref="D8">[1]!PropsSI("P","T",C8,"Q",1,"R141b")</f>
        <v>39972.855361062735</v>
      </c>
      <c r="E8" s="32">
        <v>2.82</v>
      </c>
      <c r="F8" s="32">
        <v>5.0999999999999996</v>
      </c>
      <c r="G8" s="32">
        <v>7.6</v>
      </c>
      <c r="H8" s="32">
        <v>0.2273</v>
      </c>
      <c r="I8" s="32">
        <v>127703.53338919429</v>
      </c>
      <c r="J8" s="32">
        <v>128650</v>
      </c>
      <c r="K8" s="34">
        <v>0.22950000000000001</v>
      </c>
      <c r="L8" s="34"/>
    </row>
    <row r="9" spans="1:12" x14ac:dyDescent="0.3">
      <c r="A9" s="31">
        <v>368.15</v>
      </c>
      <c r="B9" s="32" cm="1">
        <f t="array" ref="B9">[1]!PropsSI("P","T",A9,"Q",1,"R141b")</f>
        <v>604786.48587900377</v>
      </c>
      <c r="C9" s="32">
        <v>281.14999999999998</v>
      </c>
      <c r="D9" s="32" cm="1">
        <f t="array" ref="D9">[1]!PropsSI("P","T",C9,"Q",1,"R141b")</f>
        <v>39972.855361062735</v>
      </c>
      <c r="E9" s="32">
        <v>2.64</v>
      </c>
      <c r="F9" s="32">
        <v>4.5</v>
      </c>
      <c r="G9" s="32">
        <v>7.34</v>
      </c>
      <c r="H9" s="32">
        <v>0.25519999999999998</v>
      </c>
      <c r="I9" s="32">
        <v>126852.79584426436</v>
      </c>
      <c r="J9" s="32">
        <v>122860</v>
      </c>
      <c r="K9" s="34">
        <v>0.26119999999999999</v>
      </c>
      <c r="L9" s="34"/>
    </row>
    <row r="10" spans="1:12" x14ac:dyDescent="0.3">
      <c r="A10" s="31">
        <v>368.15</v>
      </c>
      <c r="B10" s="32" cm="1">
        <f t="array" ref="B10">[1]!PropsSI("P","T",A10,"Q",1,"R141b")</f>
        <v>604786.48587900377</v>
      </c>
      <c r="C10" s="32">
        <v>281.14999999999998</v>
      </c>
      <c r="D10" s="32" cm="1">
        <f t="array" ref="D10">[1]!PropsSI("P","T",C10,"Q",1,"R141b")</f>
        <v>39972.855361062735</v>
      </c>
      <c r="E10" s="32">
        <v>2.82</v>
      </c>
      <c r="F10" s="32">
        <v>5.0999999999999996</v>
      </c>
      <c r="G10" s="32">
        <v>7.34</v>
      </c>
      <c r="H10" s="32">
        <v>0.20430000000000001</v>
      </c>
      <c r="I10" s="32">
        <v>137357.53431880486</v>
      </c>
      <c r="J10" s="32">
        <v>135230</v>
      </c>
      <c r="K10" s="34">
        <v>0.19697000000000001</v>
      </c>
      <c r="L10" s="34"/>
    </row>
    <row r="11" spans="1:12" x14ac:dyDescent="0.3">
      <c r="A11" s="31">
        <v>368.15</v>
      </c>
      <c r="B11" s="32" cm="1">
        <f t="array" ref="B11">[1]!PropsSI("P","T",A11,"Q",1,"R141b")</f>
        <v>604786.48587900377</v>
      </c>
      <c r="C11" s="32">
        <v>281.14999999999998</v>
      </c>
      <c r="D11" s="32" cm="1">
        <f t="array" ref="D11">[1]!PropsSI("P","T",C11,"Q",1,"R141b")</f>
        <v>39972.855361062735</v>
      </c>
      <c r="E11" s="32">
        <v>2.64</v>
      </c>
      <c r="F11" s="32">
        <v>4.5</v>
      </c>
      <c r="G11" s="32">
        <v>6.7</v>
      </c>
      <c r="H11" s="32">
        <v>0.18590000000000001</v>
      </c>
      <c r="I11" s="32">
        <v>142392.11578949713</v>
      </c>
      <c r="J11" s="32">
        <v>140020</v>
      </c>
      <c r="K11" s="34">
        <v>0.26119999999999999</v>
      </c>
      <c r="L11" s="34"/>
    </row>
    <row r="12" spans="1:12" x14ac:dyDescent="0.3">
      <c r="A12" s="31">
        <v>363.15</v>
      </c>
      <c r="B12" s="32" cm="1">
        <f t="array" ref="B12">[1]!PropsSI("P","T",A12,"Q",1,"R141b")</f>
        <v>538198.42507084634</v>
      </c>
      <c r="C12" s="32">
        <v>281.14999999999998</v>
      </c>
      <c r="D12" s="32" cm="1">
        <f t="array" ref="D12">[1]!PropsSI("P","T",C12,"Q",1,"R141b")</f>
        <v>39972.855361062735</v>
      </c>
      <c r="E12" s="32">
        <v>2.64</v>
      </c>
      <c r="F12" s="32">
        <v>4.5</v>
      </c>
      <c r="G12" s="32">
        <v>8.1</v>
      </c>
      <c r="H12" s="32">
        <v>0.4446</v>
      </c>
      <c r="I12" s="32">
        <v>99397.978121711887</v>
      </c>
      <c r="J12" s="32">
        <v>97470</v>
      </c>
      <c r="K12" s="34">
        <v>0.43509999999999999</v>
      </c>
      <c r="L12" s="34"/>
    </row>
    <row r="13" spans="1:12" x14ac:dyDescent="0.3">
      <c r="A13" s="31">
        <v>363.15</v>
      </c>
      <c r="B13" s="32" cm="1">
        <f t="array" ref="B13">[1]!PropsSI("P","T",A13,"Q",1,"R141b")</f>
        <v>538198.42507084634</v>
      </c>
      <c r="C13" s="32">
        <v>281.14999999999998</v>
      </c>
      <c r="D13" s="32" cm="1">
        <f t="array" ref="D13">[1]!PropsSI("P","T",C13,"Q",1,"R141b")</f>
        <v>39972.855361062735</v>
      </c>
      <c r="E13" s="32">
        <v>2.64</v>
      </c>
      <c r="F13" s="32">
        <v>4.5</v>
      </c>
      <c r="G13" s="32">
        <v>7.6</v>
      </c>
      <c r="H13" s="32">
        <v>0.3488</v>
      </c>
      <c r="I13" s="32">
        <v>107724.303098064</v>
      </c>
      <c r="J13" s="32">
        <v>106780</v>
      </c>
      <c r="K13" s="34">
        <v>0.3523</v>
      </c>
      <c r="L13" s="34"/>
    </row>
    <row r="14" spans="1:12" x14ac:dyDescent="0.3">
      <c r="A14" s="31">
        <v>363.15</v>
      </c>
      <c r="B14" s="32" cm="1">
        <f t="array" ref="B14">[1]!PropsSI("P","T",A14,"Q",1,"R141b")</f>
        <v>538198.42507084634</v>
      </c>
      <c r="C14" s="32">
        <v>281.14999999999998</v>
      </c>
      <c r="D14" s="32" cm="1">
        <f t="array" ref="D14">[1]!PropsSI("P","T",C14,"Q",1,"R141b")</f>
        <v>39972.855361062735</v>
      </c>
      <c r="E14" s="32">
        <v>2.64</v>
      </c>
      <c r="F14" s="32">
        <v>4.5</v>
      </c>
      <c r="G14" s="32">
        <v>7.34</v>
      </c>
      <c r="H14" s="32">
        <v>0.30399999999999999</v>
      </c>
      <c r="I14" s="32">
        <v>118988.82354981141</v>
      </c>
      <c r="J14" s="32">
        <v>112200</v>
      </c>
      <c r="K14" s="34">
        <v>0.31119999999999998</v>
      </c>
      <c r="L14" s="34"/>
    </row>
    <row r="15" spans="1:12" x14ac:dyDescent="0.3">
      <c r="A15" s="31">
        <v>363.15</v>
      </c>
      <c r="B15" s="32" cm="1">
        <f t="array" ref="B15">[1]!PropsSI("P","T",A15,"Q",1,"R141b")</f>
        <v>538198.42507084634</v>
      </c>
      <c r="C15" s="32">
        <v>281.14999999999998</v>
      </c>
      <c r="D15" s="32" cm="1">
        <f t="array" ref="D15">[1]!PropsSI("P","T",C15,"Q",1,"R141b")</f>
        <v>39972.855361062735</v>
      </c>
      <c r="E15" s="32">
        <v>2.64</v>
      </c>
      <c r="F15" s="32">
        <v>4.5</v>
      </c>
      <c r="G15" s="32">
        <v>6.98</v>
      </c>
      <c r="H15" s="32">
        <v>0.27179999999999999</v>
      </c>
      <c r="I15" s="32">
        <v>122252.2506202667</v>
      </c>
      <c r="J15" s="32">
        <v>120460</v>
      </c>
      <c r="K15" s="34">
        <v>0.25650000000000001</v>
      </c>
      <c r="L15" s="34"/>
    </row>
    <row r="16" spans="1:12" x14ac:dyDescent="0.3">
      <c r="A16" s="31">
        <v>363.15</v>
      </c>
      <c r="B16" s="32" cm="1">
        <f t="array" ref="B16">[1]!PropsSI("P","T",A16,"Q",1,"R141b")</f>
        <v>538198.42507084634</v>
      </c>
      <c r="C16" s="32">
        <v>281.14999999999998</v>
      </c>
      <c r="D16" s="32" cm="1">
        <f t="array" ref="D16">[1]!PropsSI("P","T",C16,"Q",1,"R141b")</f>
        <v>39972.855361062735</v>
      </c>
      <c r="E16" s="32">
        <v>2.64</v>
      </c>
      <c r="F16" s="32">
        <v>4.5</v>
      </c>
      <c r="G16" s="32">
        <v>6.7</v>
      </c>
      <c r="H16" s="32">
        <v>0.22459999999999999</v>
      </c>
      <c r="I16" s="32">
        <v>128130.56283787957</v>
      </c>
      <c r="J16" s="32">
        <v>127590</v>
      </c>
      <c r="K16" s="34">
        <v>0.31119999999999998</v>
      </c>
      <c r="L16" s="34"/>
    </row>
    <row r="17" spans="1:12" x14ac:dyDescent="0.3">
      <c r="A17" s="31">
        <v>357.15</v>
      </c>
      <c r="B17" s="32" cm="1">
        <f t="array" ref="B17">[1]!PropsSI("P","T",A17,"Q",1,"R141b")</f>
        <v>465684.49668191292</v>
      </c>
      <c r="C17" s="32">
        <v>281.14999999999998</v>
      </c>
      <c r="D17" s="32" cm="1">
        <f t="array" ref="D17">[1]!PropsSI("P","T",C17,"Q",1,"R141b")</f>
        <v>39972.855361062735</v>
      </c>
      <c r="E17" s="32">
        <v>2.64</v>
      </c>
      <c r="F17" s="32">
        <v>4.5</v>
      </c>
      <c r="G17" s="32">
        <v>8.1</v>
      </c>
      <c r="H17" s="32">
        <v>0.53869999999999996</v>
      </c>
      <c r="I17" s="32">
        <v>87704.163247304619</v>
      </c>
      <c r="J17" s="32">
        <v>87520</v>
      </c>
      <c r="K17" s="34">
        <v>0.52090000000000003</v>
      </c>
      <c r="L17" s="34"/>
    </row>
    <row r="18" spans="1:12" x14ac:dyDescent="0.3">
      <c r="A18" s="31">
        <v>357.15</v>
      </c>
      <c r="B18" s="32" cm="1">
        <f t="array" ref="B18">[1]!PropsSI("P","T",A18,"Q",1,"R141b")</f>
        <v>465684.49668191292</v>
      </c>
      <c r="C18" s="32">
        <v>281.14999999999998</v>
      </c>
      <c r="D18" s="32" cm="1">
        <f t="array" ref="D18">[1]!PropsSI("P","T",C18,"Q",1,"R141b")</f>
        <v>39972.855361062735</v>
      </c>
      <c r="E18" s="32">
        <v>2.64</v>
      </c>
      <c r="F18" s="32">
        <v>4.5</v>
      </c>
      <c r="G18" s="32">
        <v>7.6</v>
      </c>
      <c r="H18" s="32">
        <v>0.42409999999999998</v>
      </c>
      <c r="I18" s="32">
        <v>95939.127237769149</v>
      </c>
      <c r="J18" s="32">
        <v>95650</v>
      </c>
      <c r="K18" s="34">
        <v>0.42720000000000002</v>
      </c>
      <c r="L18" s="34"/>
    </row>
    <row r="19" spans="1:12" x14ac:dyDescent="0.3">
      <c r="A19" s="31">
        <v>357.15</v>
      </c>
      <c r="B19" s="32" cm="1">
        <f t="array" ref="B19">[1]!PropsSI("P","T",A19,"Q",1,"R141b")</f>
        <v>465684.49668191292</v>
      </c>
      <c r="C19" s="32">
        <v>281.14999999999998</v>
      </c>
      <c r="D19" s="32" cm="1">
        <f t="array" ref="D19">[1]!PropsSI("P","T",C19,"Q",1,"R141b")</f>
        <v>39972.855361062735</v>
      </c>
      <c r="E19" s="32">
        <v>2.64</v>
      </c>
      <c r="F19" s="32">
        <v>4.5</v>
      </c>
      <c r="G19" s="32">
        <v>7.34</v>
      </c>
      <c r="H19" s="32">
        <v>0.38829999999999998</v>
      </c>
      <c r="I19" s="32">
        <v>102234.77452627623</v>
      </c>
      <c r="J19" s="32">
        <v>100380</v>
      </c>
      <c r="K19" s="34">
        <v>0.38059999999999999</v>
      </c>
      <c r="L19" s="34"/>
    </row>
    <row r="20" spans="1:12" x14ac:dyDescent="0.3">
      <c r="A20" s="31">
        <v>357.15</v>
      </c>
      <c r="B20" s="32" cm="1">
        <f t="array" ref="B20">[1]!PropsSI("P","T",A20,"Q",1,"R141b")</f>
        <v>465684.49668191292</v>
      </c>
      <c r="C20" s="32">
        <v>281.14999999999998</v>
      </c>
      <c r="D20" s="32" cm="1">
        <f t="array" ref="D20">[1]!PropsSI("P","T",C20,"Q",1,"R141b")</f>
        <v>39972.855361062735</v>
      </c>
      <c r="E20" s="32">
        <v>2.64</v>
      </c>
      <c r="F20" s="32">
        <v>4.5</v>
      </c>
      <c r="G20" s="32">
        <v>6.98</v>
      </c>
      <c r="H20" s="32">
        <v>0.31169999999999998</v>
      </c>
      <c r="I20" s="32">
        <v>106979.34472762802</v>
      </c>
      <c r="J20" s="32">
        <v>107590</v>
      </c>
      <c r="K20" s="34">
        <v>0.31850000000000001</v>
      </c>
      <c r="L20" s="34"/>
    </row>
    <row r="21" spans="1:12" x14ac:dyDescent="0.3">
      <c r="A21" s="31">
        <v>357.15</v>
      </c>
      <c r="B21" s="32" cm="1">
        <f t="array" ref="B21">[1]!PropsSI("P","T",A21,"Q",1,"R141b")</f>
        <v>465684.49668191292</v>
      </c>
      <c r="C21" s="32">
        <v>281.14999999999998</v>
      </c>
      <c r="D21" s="32" cm="1">
        <f t="array" ref="D21">[1]!PropsSI("P","T",C21,"Q",1,"R141b")</f>
        <v>39972.855361062735</v>
      </c>
      <c r="E21" s="32">
        <v>2.64</v>
      </c>
      <c r="F21" s="32">
        <v>4.5</v>
      </c>
      <c r="G21" s="32">
        <v>6.7</v>
      </c>
      <c r="H21" s="32">
        <v>0.28799999999999998</v>
      </c>
      <c r="I21" s="32">
        <v>114221.44300506335</v>
      </c>
      <c r="J21" s="32">
        <v>113800</v>
      </c>
      <c r="K21" s="34">
        <v>0.38059999999999999</v>
      </c>
      <c r="L21" s="34"/>
    </row>
    <row r="22" spans="1:12" x14ac:dyDescent="0.3">
      <c r="A22" s="31">
        <v>351.15</v>
      </c>
      <c r="B22" s="32" cm="1">
        <f t="array" ref="B22">[1]!PropsSI("P","T",A22,"Q",1,"R141b")</f>
        <v>400738.21822860965</v>
      </c>
      <c r="C22" s="32">
        <v>281.14999999999998</v>
      </c>
      <c r="D22" s="32" cm="1">
        <f t="array" ref="D22">[1]!PropsSI("P","T",C22,"Q",1,"R141b")</f>
        <v>39972.855361062735</v>
      </c>
      <c r="E22" s="32">
        <v>2.64</v>
      </c>
      <c r="F22" s="32">
        <v>4.5</v>
      </c>
      <c r="G22" s="32">
        <v>8.1</v>
      </c>
      <c r="H22" s="32">
        <v>0.62270000000000003</v>
      </c>
      <c r="I22" s="32">
        <v>76833.543745499381</v>
      </c>
      <c r="J22" s="32">
        <v>78460</v>
      </c>
      <c r="K22" s="34">
        <v>0.62070000000000003</v>
      </c>
      <c r="L22" s="34"/>
    </row>
    <row r="23" spans="1:12" x14ac:dyDescent="0.3">
      <c r="A23" s="31">
        <v>351.15</v>
      </c>
      <c r="B23" s="32" cm="1">
        <f t="array" ref="B23">[1]!PropsSI("P","T",A23,"Q",1,"R141b")</f>
        <v>400738.21822860965</v>
      </c>
      <c r="C23" s="32">
        <v>281.14999999999998</v>
      </c>
      <c r="D23" s="32" cm="1">
        <f t="array" ref="D23">[1]!PropsSI("P","T",C23,"Q",1,"R141b")</f>
        <v>39972.855361062735</v>
      </c>
      <c r="E23" s="32">
        <v>2.64</v>
      </c>
      <c r="F23" s="32">
        <v>4.5</v>
      </c>
      <c r="G23" s="32">
        <v>7.6</v>
      </c>
      <c r="H23" s="32">
        <v>0.4889</v>
      </c>
      <c r="I23" s="32">
        <v>84261.828634769859</v>
      </c>
      <c r="J23" s="32">
        <v>85500</v>
      </c>
      <c r="K23" s="34">
        <v>0.51470000000000005</v>
      </c>
      <c r="L23" s="34"/>
    </row>
    <row r="24" spans="1:12" x14ac:dyDescent="0.3">
      <c r="A24" s="31">
        <v>351.15</v>
      </c>
      <c r="B24" s="32" cm="1">
        <f t="array" ref="B24">[1]!PropsSI("P","T",A24,"Q",1,"R141b")</f>
        <v>400738.21822860965</v>
      </c>
      <c r="C24" s="32">
        <v>281.14999999999998</v>
      </c>
      <c r="D24" s="32" cm="1">
        <f t="array" ref="D24">[1]!PropsSI("P","T",C24,"Q",1,"R141b")</f>
        <v>39972.855361062735</v>
      </c>
      <c r="E24" s="32">
        <v>2.64</v>
      </c>
      <c r="F24" s="32">
        <v>4.5</v>
      </c>
      <c r="G24" s="32">
        <v>7.34</v>
      </c>
      <c r="H24" s="32">
        <v>0.43930000000000002</v>
      </c>
      <c r="I24" s="32">
        <v>91256.124557538482</v>
      </c>
      <c r="J24" s="32">
        <v>89590</v>
      </c>
      <c r="K24" s="34">
        <v>0.46179999999999999</v>
      </c>
      <c r="L24" s="34"/>
    </row>
    <row r="25" spans="1:12" x14ac:dyDescent="0.3">
      <c r="A25" s="31">
        <v>351.15</v>
      </c>
      <c r="B25" s="32" cm="1">
        <f t="array" ref="B25">[1]!PropsSI("P","T",A25,"Q",1,"R141b")</f>
        <v>400738.21822860965</v>
      </c>
      <c r="C25" s="32">
        <v>281.14999999999998</v>
      </c>
      <c r="D25" s="32" cm="1">
        <f t="array" ref="D25">[1]!PropsSI("P","T",C25,"Q",1,"R141b")</f>
        <v>39972.855361062735</v>
      </c>
      <c r="E25" s="32">
        <v>2.64</v>
      </c>
      <c r="F25" s="32">
        <v>4.5</v>
      </c>
      <c r="G25" s="32">
        <v>6.98</v>
      </c>
      <c r="H25" s="32">
        <v>0.39219999999999999</v>
      </c>
      <c r="I25" s="32">
        <v>92575.39322852972</v>
      </c>
      <c r="J25" s="32">
        <v>95830</v>
      </c>
      <c r="K25" s="34">
        <v>0.39140000000000003</v>
      </c>
      <c r="L25" s="34"/>
    </row>
    <row r="26" spans="1:12" x14ac:dyDescent="0.3">
      <c r="A26" s="31">
        <v>351.15</v>
      </c>
      <c r="B26" s="32" cm="1">
        <f t="array" ref="B26">[1]!PropsSI("P","T",A26,"Q",1,"R141b")</f>
        <v>400738.21822860965</v>
      </c>
      <c r="C26" s="32">
        <v>281.14999999999998</v>
      </c>
      <c r="D26" s="32" cm="1">
        <f t="array" ref="D26">[1]!PropsSI("P","T",C26,"Q",1,"R141b")</f>
        <v>39972.855361062735</v>
      </c>
      <c r="E26" s="32">
        <v>2.64</v>
      </c>
      <c r="F26" s="32">
        <v>4.5</v>
      </c>
      <c r="G26" s="32">
        <v>6.7</v>
      </c>
      <c r="H26" s="32">
        <v>0.32569999999999999</v>
      </c>
      <c r="I26" s="32">
        <v>102953.77929418528</v>
      </c>
      <c r="J26" s="32">
        <v>101210</v>
      </c>
      <c r="K26" s="34">
        <v>0.46179999999999999</v>
      </c>
      <c r="L26" s="34"/>
    </row>
    <row r="27" spans="1:12" x14ac:dyDescent="0.3">
      <c r="A27" s="31">
        <v>368.15</v>
      </c>
      <c r="B27" s="32" cm="1">
        <f t="array" ref="B27">[1]!PropsSI("P","T",A27,"Q",1,"R141b")</f>
        <v>604786.48587900377</v>
      </c>
      <c r="C27" s="32">
        <v>285.14999999999998</v>
      </c>
      <c r="D27" s="32" cm="1">
        <f t="array" ref="D27">[1]!PropsSI("P","T",C27,"Q",1,"R141b")</f>
        <v>47263.25185486611</v>
      </c>
      <c r="E27" s="32">
        <v>2.82</v>
      </c>
      <c r="F27" s="32">
        <v>5.0999999999999996</v>
      </c>
      <c r="G27" s="32">
        <v>8.84</v>
      </c>
      <c r="H27" s="32">
        <v>0.49890000000000001</v>
      </c>
      <c r="I27" s="32">
        <v>105134.56446873606</v>
      </c>
      <c r="J27" s="32">
        <v>107550</v>
      </c>
      <c r="K27" s="34">
        <v>0.49059999999999998</v>
      </c>
      <c r="L27" s="34"/>
    </row>
    <row r="28" spans="1:12" x14ac:dyDescent="0.3">
      <c r="A28" s="31">
        <v>368.15</v>
      </c>
      <c r="B28" s="32" cm="1">
        <f t="array" ref="B28">[1]!PropsSI("P","T",A28,"Q",1,"R141b")</f>
        <v>604786.48587900377</v>
      </c>
      <c r="C28" s="32">
        <v>285.14999999999998</v>
      </c>
      <c r="D28" s="32" cm="1">
        <f t="array" ref="D28">[1]!PropsSI("P","T",C28,"Q",1,"R141b")</f>
        <v>47263.25185486611</v>
      </c>
      <c r="E28" s="32">
        <v>2.82</v>
      </c>
      <c r="F28" s="32">
        <v>5.0999999999999996</v>
      </c>
      <c r="G28" s="32">
        <v>8.5399999999999991</v>
      </c>
      <c r="H28" s="32">
        <v>0.40479999999999999</v>
      </c>
      <c r="I28" s="32">
        <v>109226.38157534032</v>
      </c>
      <c r="J28" s="32">
        <v>112980</v>
      </c>
      <c r="K28" s="34">
        <v>0.44069999999999998</v>
      </c>
      <c r="L28" s="34"/>
    </row>
    <row r="29" spans="1:12" x14ac:dyDescent="0.3">
      <c r="A29" s="31">
        <v>368.15</v>
      </c>
      <c r="B29" s="32" cm="1">
        <f t="array" ref="B29">[1]!PropsSI("P","T",A29,"Q",1,"R141b")</f>
        <v>604786.48587900377</v>
      </c>
      <c r="C29" s="32">
        <v>285.14999999999998</v>
      </c>
      <c r="D29" s="32" cm="1">
        <f t="array" ref="D29">[1]!PropsSI("P","T",C29,"Q",1,"R141b")</f>
        <v>47263.25185486611</v>
      </c>
      <c r="E29" s="32">
        <v>2.64</v>
      </c>
      <c r="F29" s="32">
        <v>4.5</v>
      </c>
      <c r="G29" s="32">
        <v>8.1</v>
      </c>
      <c r="H29" s="32">
        <v>0.4541</v>
      </c>
      <c r="I29" s="32">
        <v>110363.6411200455</v>
      </c>
      <c r="J29" s="32">
        <v>110780</v>
      </c>
      <c r="K29" s="34">
        <v>0.46039999999999998</v>
      </c>
      <c r="L29" s="34"/>
    </row>
    <row r="30" spans="1:12" x14ac:dyDescent="0.3">
      <c r="A30" s="31">
        <v>368.15</v>
      </c>
      <c r="B30" s="32" cm="1">
        <f t="array" ref="B30">[1]!PropsSI("P","T",A30,"Q",1,"R141b")</f>
        <v>604786.48587900377</v>
      </c>
      <c r="C30" s="32">
        <v>285.14999999999998</v>
      </c>
      <c r="D30" s="32" cm="1">
        <f t="array" ref="D30">[1]!PropsSI("P","T",C30,"Q",1,"R141b")</f>
        <v>47263.25185486611</v>
      </c>
      <c r="E30" s="32">
        <v>2.64</v>
      </c>
      <c r="F30" s="32">
        <v>4.5</v>
      </c>
      <c r="G30" s="32">
        <v>7.34</v>
      </c>
      <c r="H30" s="32">
        <v>0.3503</v>
      </c>
      <c r="I30" s="32">
        <v>127277.61170634185</v>
      </c>
      <c r="J30" s="32">
        <v>127350</v>
      </c>
      <c r="K30" s="34">
        <v>0.33139999999999997</v>
      </c>
      <c r="L30" s="34"/>
    </row>
    <row r="31" spans="1:12" x14ac:dyDescent="0.3">
      <c r="A31" s="31">
        <v>368.15</v>
      </c>
      <c r="B31" s="32" cm="1">
        <f t="array" ref="B31">[1]!PropsSI("P","T",A31,"Q",1,"R141b")</f>
        <v>604786.48587900377</v>
      </c>
      <c r="C31" s="32">
        <v>285.14999999999998</v>
      </c>
      <c r="D31" s="32" cm="1">
        <f t="array" ref="D31">[1]!PropsSI("P","T",C31,"Q",1,"R141b")</f>
        <v>47263.25185486611</v>
      </c>
      <c r="E31" s="32">
        <v>2.82</v>
      </c>
      <c r="F31" s="32">
        <v>5.0999999999999996</v>
      </c>
      <c r="G31" s="32">
        <v>7.6</v>
      </c>
      <c r="H31" s="32">
        <v>0.30399999999999999</v>
      </c>
      <c r="I31" s="32">
        <v>129849.79723994293</v>
      </c>
      <c r="J31" s="32">
        <v>133190</v>
      </c>
      <c r="K31" s="34">
        <v>0.29459999999999997</v>
      </c>
      <c r="L31" s="34"/>
    </row>
    <row r="32" spans="1:12" x14ac:dyDescent="0.3">
      <c r="A32" s="31">
        <v>368.15</v>
      </c>
      <c r="B32" s="32" cm="1">
        <f t="array" ref="B32">[1]!PropsSI("P","T",A32,"Q",1,"R141b")</f>
        <v>604786.48587900377</v>
      </c>
      <c r="C32" s="32">
        <v>285.14999999999998</v>
      </c>
      <c r="D32" s="32" cm="1">
        <f t="array" ref="D32">[1]!PropsSI("P","T",C32,"Q",1,"R141b")</f>
        <v>47263.25185486611</v>
      </c>
      <c r="E32" s="32">
        <v>2.64</v>
      </c>
      <c r="F32" s="32">
        <v>4.5</v>
      </c>
      <c r="G32" s="32">
        <v>6.7</v>
      </c>
      <c r="H32" s="32">
        <v>0.23499999999999999</v>
      </c>
      <c r="I32" s="32">
        <v>144257.91496618744</v>
      </c>
      <c r="J32" s="32">
        <v>144670</v>
      </c>
      <c r="K32" s="34">
        <v>0.33139999999999997</v>
      </c>
      <c r="L32" s="34"/>
    </row>
    <row r="33" spans="1:12" x14ac:dyDescent="0.3">
      <c r="A33" s="31">
        <v>363.15</v>
      </c>
      <c r="B33" s="32" cm="1">
        <f t="array" ref="B33">[1]!PropsSI("P","T",A33,"Q",1,"R141b")</f>
        <v>538198.42507084634</v>
      </c>
      <c r="C33" s="32">
        <v>285.14999999999998</v>
      </c>
      <c r="D33" s="32" cm="1">
        <f t="array" ref="D33">[1]!PropsSI("P","T",C33,"Q",1,"R141b")</f>
        <v>47263.25185486611</v>
      </c>
      <c r="E33" s="32">
        <v>2.64</v>
      </c>
      <c r="F33" s="32">
        <v>4.5</v>
      </c>
      <c r="G33" s="32">
        <v>8.1</v>
      </c>
      <c r="H33" s="32">
        <v>0.54220000000000002</v>
      </c>
      <c r="I33" s="32">
        <v>101163.6447442776</v>
      </c>
      <c r="J33" s="32">
        <v>101640</v>
      </c>
      <c r="K33" s="34">
        <v>0.53190000000000004</v>
      </c>
      <c r="L33" s="34"/>
    </row>
    <row r="34" spans="1:12" x14ac:dyDescent="0.3">
      <c r="A34" s="31">
        <v>363.15</v>
      </c>
      <c r="B34" s="32" cm="1">
        <f t="array" ref="B34">[1]!PropsSI("P","T",A34,"Q",1,"R141b")</f>
        <v>538198.42507084634</v>
      </c>
      <c r="C34" s="32">
        <v>285.14999999999998</v>
      </c>
      <c r="D34" s="32" cm="1">
        <f t="array" ref="D34">[1]!PropsSI("P","T",C34,"Q",1,"R141b")</f>
        <v>47263.25185486611</v>
      </c>
      <c r="E34" s="32">
        <v>2.64</v>
      </c>
      <c r="F34" s="32">
        <v>4.5</v>
      </c>
      <c r="G34" s="32">
        <v>7.34</v>
      </c>
      <c r="H34" s="32">
        <v>0.40339999999999998</v>
      </c>
      <c r="I34" s="32">
        <v>116189.38725388977</v>
      </c>
      <c r="J34" s="32">
        <v>116480</v>
      </c>
      <c r="K34" s="34">
        <v>0.38929999999999998</v>
      </c>
      <c r="L34" s="34"/>
    </row>
    <row r="35" spans="1:12" x14ac:dyDescent="0.3">
      <c r="A35" s="31">
        <v>363.15</v>
      </c>
      <c r="B35" s="32" cm="1">
        <f t="array" ref="B35">[1]!PropsSI("P","T",A35,"Q",1,"R141b")</f>
        <v>538198.42507084634</v>
      </c>
      <c r="C35" s="32">
        <v>285.14999999999998</v>
      </c>
      <c r="D35" s="32" cm="1">
        <f t="array" ref="D35">[1]!PropsSI("P","T",C35,"Q",1,"R141b")</f>
        <v>47263.25185486611</v>
      </c>
      <c r="E35" s="32">
        <v>2.64</v>
      </c>
      <c r="F35" s="32">
        <v>4.5</v>
      </c>
      <c r="G35" s="32">
        <v>6.7</v>
      </c>
      <c r="H35" s="32">
        <v>0.29459999999999997</v>
      </c>
      <c r="I35" s="32">
        <v>130716.11170782719</v>
      </c>
      <c r="J35" s="32">
        <v>131980</v>
      </c>
      <c r="K35" s="34">
        <v>0.38929999999999998</v>
      </c>
      <c r="L35" s="34"/>
    </row>
    <row r="36" spans="1:12" x14ac:dyDescent="0.3">
      <c r="A36" s="31">
        <v>357.15</v>
      </c>
      <c r="B36" s="32" cm="1">
        <f t="array" ref="B36">[1]!PropsSI("P","T",A36,"Q",1,"R141b")</f>
        <v>465684.49668191292</v>
      </c>
      <c r="C36" s="32">
        <v>285.14999999999998</v>
      </c>
      <c r="D36" s="32" cm="1">
        <f t="array" ref="D36">[1]!PropsSI("P","T",C36,"Q",1,"R141b")</f>
        <v>47263.25185486611</v>
      </c>
      <c r="E36" s="32">
        <v>2.64</v>
      </c>
      <c r="F36" s="32">
        <v>4.5</v>
      </c>
      <c r="G36" s="32">
        <v>8.1</v>
      </c>
      <c r="H36" s="32">
        <v>0.63500000000000001</v>
      </c>
      <c r="I36" s="32">
        <v>90602.051913193834</v>
      </c>
      <c r="J36" s="32">
        <v>91540</v>
      </c>
      <c r="K36" s="34">
        <v>0.63009999999999999</v>
      </c>
      <c r="L36" s="34"/>
    </row>
    <row r="37" spans="1:12" x14ac:dyDescent="0.3">
      <c r="A37" s="31">
        <v>357.15</v>
      </c>
      <c r="B37" s="32" cm="1">
        <f t="array" ref="B37">[1]!PropsSI("P","T",A37,"Q",1,"R141b")</f>
        <v>465684.49668191292</v>
      </c>
      <c r="C37" s="32">
        <v>285.14999999999998</v>
      </c>
      <c r="D37" s="32" cm="1">
        <f t="array" ref="D37">[1]!PropsSI("P","T",C37,"Q",1,"R141b")</f>
        <v>47263.25185486611</v>
      </c>
      <c r="E37" s="32">
        <v>2.64</v>
      </c>
      <c r="F37" s="32">
        <v>4.5</v>
      </c>
      <c r="G37" s="32">
        <v>7.34</v>
      </c>
      <c r="H37" s="32">
        <v>0.47899999999999998</v>
      </c>
      <c r="I37" s="32">
        <v>102593.78385028096</v>
      </c>
      <c r="J37" s="32">
        <v>104450</v>
      </c>
      <c r="K37" s="34">
        <v>0.46920000000000001</v>
      </c>
      <c r="L37" s="34"/>
    </row>
    <row r="38" spans="1:12" x14ac:dyDescent="0.3">
      <c r="A38" s="31">
        <v>357.15</v>
      </c>
      <c r="B38" s="32" cm="1">
        <f t="array" ref="B38">[1]!PropsSI("P","T",A38,"Q",1,"R141b")</f>
        <v>465684.49668191292</v>
      </c>
      <c r="C38" s="32">
        <v>285.14999999999998</v>
      </c>
      <c r="D38" s="32" cm="1">
        <f t="array" ref="D38">[1]!PropsSI("P","T",C38,"Q",1,"R141b")</f>
        <v>47263.25185486611</v>
      </c>
      <c r="E38" s="32">
        <v>2.64</v>
      </c>
      <c r="F38" s="32">
        <v>4.5</v>
      </c>
      <c r="G38" s="32">
        <v>6.7</v>
      </c>
      <c r="H38" s="32">
        <v>0.33979999999999999</v>
      </c>
      <c r="I38" s="32">
        <v>116189.38725388977</v>
      </c>
      <c r="J38" s="32">
        <v>117940</v>
      </c>
      <c r="K38" s="34">
        <v>0.46960000000000002</v>
      </c>
      <c r="L38" s="34"/>
    </row>
    <row r="39" spans="1:12" x14ac:dyDescent="0.3">
      <c r="A39" s="31">
        <v>351.15</v>
      </c>
      <c r="B39" s="32" cm="1">
        <f t="array" ref="B39">[1]!PropsSI("P","T",A39,"Q",1,"R141b")</f>
        <v>400738.21822860965</v>
      </c>
      <c r="C39" s="32">
        <v>285.14999999999998</v>
      </c>
      <c r="D39" s="32" cm="1">
        <f t="array" ref="D39">[1]!PropsSI("P","T",C39,"Q",1,"R141b")</f>
        <v>47263.25185486611</v>
      </c>
      <c r="E39" s="32">
        <v>2.64</v>
      </c>
      <c r="F39" s="32">
        <v>4.5</v>
      </c>
      <c r="G39" s="32">
        <v>8.1</v>
      </c>
      <c r="H39" s="32">
        <v>0.74119999999999997</v>
      </c>
      <c r="I39" s="32">
        <v>80628.802243654442</v>
      </c>
      <c r="J39" s="32">
        <v>82340</v>
      </c>
      <c r="K39" s="34">
        <v>0.74280000000000002</v>
      </c>
      <c r="L39" s="34"/>
    </row>
    <row r="40" spans="1:12" x14ac:dyDescent="0.3">
      <c r="A40" s="35">
        <v>351.15</v>
      </c>
      <c r="B40" s="36" cm="1">
        <f t="array" ref="B40">[1]!PropsSI("P","T",A40,"Q",1,"R141b")</f>
        <v>400738.21822860965</v>
      </c>
      <c r="C40" s="36">
        <v>285.14999999999998</v>
      </c>
      <c r="D40" s="36" cm="1">
        <f t="array" ref="D40">[1]!PropsSI("P","T",C40,"Q",1,"R141b")</f>
        <v>47263.25185486611</v>
      </c>
      <c r="E40" s="36">
        <v>2.64</v>
      </c>
      <c r="F40" s="36">
        <v>4.5</v>
      </c>
      <c r="G40" s="36">
        <v>7.34</v>
      </c>
      <c r="H40" s="36">
        <v>0.61319999999999997</v>
      </c>
      <c r="I40" s="36">
        <v>91584.54859419995</v>
      </c>
      <c r="J40" s="36">
        <v>93480</v>
      </c>
      <c r="K40" s="37">
        <v>0.56189999999999996</v>
      </c>
      <c r="L40" s="37"/>
    </row>
  </sheetData>
  <hyperlinks>
    <hyperlink ref="L3" r:id="rId1" xr:uid="{22996714-CB02-439D-9522-CCC49BAA3F9E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94E71-FD8A-4B71-BD8E-D02BC7C4159D}">
  <dimension ref="A1:K36"/>
  <sheetViews>
    <sheetView zoomScaleNormal="100" workbookViewId="0">
      <selection activeCell="N9" sqref="N9"/>
    </sheetView>
  </sheetViews>
  <sheetFormatPr defaultRowHeight="14.4" x14ac:dyDescent="0.3"/>
  <cols>
    <col min="11" max="11" width="71.21875" bestFit="1" customWidth="1"/>
    <col min="12" max="12" width="9.5546875" bestFit="1" customWidth="1"/>
  </cols>
  <sheetData>
    <row r="1" spans="1:11" x14ac:dyDescent="0.3">
      <c r="A1" s="3" t="s">
        <v>7</v>
      </c>
      <c r="B1" s="4" t="s">
        <v>8</v>
      </c>
      <c r="C1" s="4" t="s">
        <v>5</v>
      </c>
      <c r="D1" s="4" t="s">
        <v>6</v>
      </c>
      <c r="E1" s="4" t="s">
        <v>0</v>
      </c>
      <c r="F1" s="4" t="s">
        <v>1</v>
      </c>
      <c r="G1" s="4" t="s">
        <v>2</v>
      </c>
      <c r="H1" s="4" t="s">
        <v>9</v>
      </c>
      <c r="I1" s="4" t="s">
        <v>10</v>
      </c>
      <c r="J1" s="5" t="s">
        <v>11</v>
      </c>
      <c r="K1" s="6" t="s">
        <v>18</v>
      </c>
    </row>
    <row r="2" spans="1:11" x14ac:dyDescent="0.3">
      <c r="A2" s="7">
        <v>362.52</v>
      </c>
      <c r="B2" s="8">
        <v>2598041.8085160535</v>
      </c>
      <c r="C2" s="8">
        <v>290.14999999999998</v>
      </c>
      <c r="D2" s="8">
        <v>374626.95109548816</v>
      </c>
      <c r="E2" s="8">
        <v>2</v>
      </c>
      <c r="F2" s="8">
        <v>3</v>
      </c>
      <c r="G2" s="8">
        <v>4.8</v>
      </c>
      <c r="H2" s="8">
        <v>747220.35244981328</v>
      </c>
      <c r="I2" s="8">
        <v>302.09999999999997</v>
      </c>
      <c r="J2" s="9">
        <v>0.42199999999999999</v>
      </c>
      <c r="K2" s="10" t="s">
        <v>3</v>
      </c>
    </row>
    <row r="3" spans="1:11" x14ac:dyDescent="0.3">
      <c r="A3" s="11">
        <v>362.52</v>
      </c>
      <c r="B3" s="12">
        <v>2598041.8085160535</v>
      </c>
      <c r="C3" s="12">
        <v>293.14999999999998</v>
      </c>
      <c r="D3" s="12">
        <v>414607.46736265969</v>
      </c>
      <c r="E3" s="12">
        <v>2</v>
      </c>
      <c r="F3" s="12">
        <v>3</v>
      </c>
      <c r="G3" s="12">
        <v>4.8</v>
      </c>
      <c r="H3" s="12">
        <v>757221.54986209061</v>
      </c>
      <c r="I3" s="12">
        <v>302.56</v>
      </c>
      <c r="J3" s="13">
        <v>0.49399999999999999</v>
      </c>
      <c r="K3" s="21" t="s">
        <v>19</v>
      </c>
    </row>
    <row r="4" spans="1:11" x14ac:dyDescent="0.3">
      <c r="A4" s="11">
        <v>367.53999999999996</v>
      </c>
      <c r="B4" s="12">
        <v>2888803.1298997412</v>
      </c>
      <c r="C4" s="12">
        <v>290.14999999999998</v>
      </c>
      <c r="D4" s="12">
        <v>374626.95109548816</v>
      </c>
      <c r="E4" s="12">
        <v>2</v>
      </c>
      <c r="F4" s="12">
        <v>3</v>
      </c>
      <c r="G4" s="12">
        <v>4.8</v>
      </c>
      <c r="H4" s="12">
        <v>808058.78086120519</v>
      </c>
      <c r="I4" s="12">
        <v>304.83</v>
      </c>
      <c r="J4" s="13">
        <v>0.34200000000000003</v>
      </c>
      <c r="K4" s="14"/>
    </row>
    <row r="5" spans="1:11" x14ac:dyDescent="0.3">
      <c r="A5" s="11">
        <v>367.53999999999996</v>
      </c>
      <c r="B5" s="12">
        <v>2888803.1298997412</v>
      </c>
      <c r="C5" s="12">
        <v>293.14999999999998</v>
      </c>
      <c r="D5" s="12">
        <v>414607.46736265969</v>
      </c>
      <c r="E5" s="12">
        <v>2</v>
      </c>
      <c r="F5" s="12">
        <v>3</v>
      </c>
      <c r="G5" s="12">
        <v>4.8</v>
      </c>
      <c r="H5" s="12">
        <v>826572.69663170399</v>
      </c>
      <c r="I5" s="12">
        <v>305.63</v>
      </c>
      <c r="J5" s="13">
        <v>0.39800000000000002</v>
      </c>
      <c r="K5" s="14"/>
    </row>
    <row r="6" spans="1:11" x14ac:dyDescent="0.3">
      <c r="A6" s="11">
        <v>372.29999999999995</v>
      </c>
      <c r="B6" s="12">
        <v>3188135.3826960637</v>
      </c>
      <c r="C6" s="12">
        <v>288.14999999999998</v>
      </c>
      <c r="D6" s="12">
        <v>349658.60786131379</v>
      </c>
      <c r="E6" s="12">
        <v>2</v>
      </c>
      <c r="F6" s="12">
        <v>3</v>
      </c>
      <c r="G6" s="12">
        <v>4.8</v>
      </c>
      <c r="H6" s="12">
        <v>815888.66932250396</v>
      </c>
      <c r="I6" s="12">
        <v>305.16999999999996</v>
      </c>
      <c r="J6" s="13">
        <v>0.27300000000000002</v>
      </c>
      <c r="K6" s="14"/>
    </row>
    <row r="7" spans="1:11" x14ac:dyDescent="0.3">
      <c r="A7" s="11">
        <v>372.29999999999995</v>
      </c>
      <c r="B7" s="12">
        <v>3188135.3826960637</v>
      </c>
      <c r="C7" s="12">
        <v>290.14999999999998</v>
      </c>
      <c r="D7" s="12">
        <v>374626.95109548816</v>
      </c>
      <c r="E7" s="12">
        <v>2</v>
      </c>
      <c r="F7" s="12">
        <v>3</v>
      </c>
      <c r="G7" s="12">
        <v>4.8</v>
      </c>
      <c r="H7" s="12">
        <v>865279.95271821762</v>
      </c>
      <c r="I7" s="12">
        <v>307.26</v>
      </c>
      <c r="J7" s="13">
        <v>0.29699999999999999</v>
      </c>
      <c r="K7" s="14"/>
    </row>
    <row r="8" spans="1:11" x14ac:dyDescent="0.3">
      <c r="A8" s="15">
        <v>372.29999999999995</v>
      </c>
      <c r="B8" s="16">
        <v>3188135.3826960637</v>
      </c>
      <c r="C8" s="16">
        <v>293.14999999999998</v>
      </c>
      <c r="D8" s="16">
        <v>414607.46736265969</v>
      </c>
      <c r="E8" s="16">
        <v>2</v>
      </c>
      <c r="F8" s="16">
        <v>3</v>
      </c>
      <c r="G8" s="16">
        <v>4.8</v>
      </c>
      <c r="H8" s="16">
        <v>897114.50016682723</v>
      </c>
      <c r="I8" s="16">
        <v>308.55999999999995</v>
      </c>
      <c r="J8" s="17">
        <v>0.33900000000000002</v>
      </c>
      <c r="K8" s="18"/>
    </row>
    <row r="9" spans="1:11" x14ac:dyDescent="0.3">
      <c r="A9" s="7">
        <v>348.15</v>
      </c>
      <c r="B9" s="8">
        <v>2364119.9904466528</v>
      </c>
      <c r="C9" s="8">
        <v>283.14999999999998</v>
      </c>
      <c r="D9" s="8">
        <v>414607.46736265969</v>
      </c>
      <c r="E9" s="8">
        <v>2.5</v>
      </c>
      <c r="F9" s="8">
        <v>3.3</v>
      </c>
      <c r="G9" s="8">
        <v>4.16</v>
      </c>
      <c r="H9" s="8">
        <v>884522.4936922004</v>
      </c>
      <c r="I9" s="8">
        <v>308.04999999999995</v>
      </c>
      <c r="J9" s="9">
        <v>8.3599999999999994E-2</v>
      </c>
      <c r="K9" s="10" t="s">
        <v>4</v>
      </c>
    </row>
    <row r="10" spans="1:11" x14ac:dyDescent="0.3">
      <c r="A10" s="11">
        <v>348.15</v>
      </c>
      <c r="B10" s="12">
        <v>2364119.9904466528</v>
      </c>
      <c r="C10" s="12">
        <v>285.64999999999998</v>
      </c>
      <c r="D10" s="12">
        <v>450342.24027083244</v>
      </c>
      <c r="E10" s="12">
        <v>2.5</v>
      </c>
      <c r="F10" s="12">
        <v>3.3</v>
      </c>
      <c r="G10" s="12">
        <v>4.16</v>
      </c>
      <c r="H10" s="12">
        <v>896866.31148210075</v>
      </c>
      <c r="I10" s="12">
        <v>308.54999999999995</v>
      </c>
      <c r="J10" s="13">
        <v>0.12239999999999999</v>
      </c>
      <c r="K10" s="21" t="s">
        <v>20</v>
      </c>
    </row>
    <row r="11" spans="1:11" x14ac:dyDescent="0.3">
      <c r="A11" s="11">
        <v>348.15</v>
      </c>
      <c r="B11" s="12">
        <v>2364119.9904466528</v>
      </c>
      <c r="C11" s="12">
        <v>288.14999999999998</v>
      </c>
      <c r="D11" s="12">
        <v>488373.86439130764</v>
      </c>
      <c r="E11" s="12">
        <v>2.5</v>
      </c>
      <c r="F11" s="12">
        <v>3.3</v>
      </c>
      <c r="G11" s="12">
        <v>4.16</v>
      </c>
      <c r="H11" s="12">
        <v>934674.95748946373</v>
      </c>
      <c r="I11" s="12">
        <v>310.04999999999995</v>
      </c>
      <c r="J11" s="13">
        <v>0.15609999999999999</v>
      </c>
      <c r="K11" s="19"/>
    </row>
    <row r="12" spans="1:11" x14ac:dyDescent="0.3">
      <c r="A12" s="11">
        <v>348.15</v>
      </c>
      <c r="B12" s="12">
        <v>2364119.9904466528</v>
      </c>
      <c r="C12" s="12">
        <v>283.14999999999998</v>
      </c>
      <c r="D12" s="12">
        <v>414607.46736265969</v>
      </c>
      <c r="E12" s="12">
        <v>2.09</v>
      </c>
      <c r="F12" s="12">
        <v>2.7</v>
      </c>
      <c r="G12" s="12">
        <v>3.81</v>
      </c>
      <c r="H12" s="12">
        <v>855418.20270859334</v>
      </c>
      <c r="I12" s="12">
        <v>306.84999999999997</v>
      </c>
      <c r="J12" s="13">
        <v>0.1933</v>
      </c>
      <c r="K12" s="19"/>
    </row>
    <row r="13" spans="1:11" x14ac:dyDescent="0.3">
      <c r="A13" s="11">
        <v>348.15</v>
      </c>
      <c r="B13" s="12">
        <v>2364119.9904466528</v>
      </c>
      <c r="C13" s="12">
        <v>285.64999999999998</v>
      </c>
      <c r="D13" s="12">
        <v>450342.24027083244</v>
      </c>
      <c r="E13" s="12">
        <v>2.09</v>
      </c>
      <c r="F13" s="12">
        <v>2.7</v>
      </c>
      <c r="G13" s="12">
        <v>3.81</v>
      </c>
      <c r="H13" s="12">
        <v>865038.41060934239</v>
      </c>
      <c r="I13" s="12">
        <v>307.25</v>
      </c>
      <c r="J13" s="13">
        <v>0.22090000000000001</v>
      </c>
      <c r="K13" s="19"/>
    </row>
    <row r="14" spans="1:11" x14ac:dyDescent="0.3">
      <c r="A14" s="11">
        <v>348.15</v>
      </c>
      <c r="B14" s="12">
        <v>2364119.9904466528</v>
      </c>
      <c r="C14" s="12">
        <v>288.14999999999998</v>
      </c>
      <c r="D14" s="12">
        <v>488373.86439130764</v>
      </c>
      <c r="E14" s="12">
        <v>2.09</v>
      </c>
      <c r="F14" s="12">
        <v>2.7</v>
      </c>
      <c r="G14" s="12">
        <v>3.81</v>
      </c>
      <c r="H14" s="12">
        <v>973667.94461737643</v>
      </c>
      <c r="I14" s="12">
        <v>311.54999999999995</v>
      </c>
      <c r="J14" s="13">
        <v>0.25700000000000001</v>
      </c>
      <c r="K14" s="19"/>
    </row>
    <row r="15" spans="1:11" x14ac:dyDescent="0.3">
      <c r="A15" s="11">
        <v>353.15</v>
      </c>
      <c r="B15" s="12">
        <v>2633203.3284409828</v>
      </c>
      <c r="C15" s="12">
        <v>283.14999999999998</v>
      </c>
      <c r="D15" s="12">
        <v>414607.46736265969</v>
      </c>
      <c r="E15" s="12">
        <v>2.09</v>
      </c>
      <c r="F15" s="12">
        <v>2.7</v>
      </c>
      <c r="G15" s="12">
        <v>3.81</v>
      </c>
      <c r="H15" s="12">
        <v>927019.24684554862</v>
      </c>
      <c r="I15" s="12">
        <v>309.75</v>
      </c>
      <c r="J15" s="13">
        <v>0.1411</v>
      </c>
      <c r="K15" s="19"/>
    </row>
    <row r="16" spans="1:11" x14ac:dyDescent="0.3">
      <c r="A16" s="11">
        <v>353.15</v>
      </c>
      <c r="B16" s="12">
        <v>2633203.3284409828</v>
      </c>
      <c r="C16" s="12">
        <v>285.64999999999998</v>
      </c>
      <c r="D16" s="12">
        <v>450342.24027083244</v>
      </c>
      <c r="E16" s="12">
        <v>2.09</v>
      </c>
      <c r="F16" s="12">
        <v>2.7</v>
      </c>
      <c r="G16" s="12">
        <v>3.81</v>
      </c>
      <c r="H16" s="12">
        <v>934674.95748946373</v>
      </c>
      <c r="I16" s="12">
        <v>310.04999999999995</v>
      </c>
      <c r="J16" s="13">
        <v>0.1757</v>
      </c>
      <c r="K16" s="19"/>
    </row>
    <row r="17" spans="1:11" x14ac:dyDescent="0.3">
      <c r="A17" s="11">
        <v>353.15</v>
      </c>
      <c r="B17" s="12">
        <v>2633203.3284409828</v>
      </c>
      <c r="C17" s="12">
        <v>288.14999999999998</v>
      </c>
      <c r="D17" s="12">
        <v>488373.86439130764</v>
      </c>
      <c r="E17" s="12">
        <v>2.09</v>
      </c>
      <c r="F17" s="12">
        <v>2.7</v>
      </c>
      <c r="G17" s="12">
        <v>3.81</v>
      </c>
      <c r="H17" s="12">
        <v>960537.20761792234</v>
      </c>
      <c r="I17" s="12">
        <v>311.04999999999995</v>
      </c>
      <c r="J17" s="13">
        <v>0.20549999999999999</v>
      </c>
      <c r="K17" s="19"/>
    </row>
    <row r="18" spans="1:11" x14ac:dyDescent="0.3">
      <c r="A18" s="11">
        <v>358.15</v>
      </c>
      <c r="B18" s="12">
        <v>2925832.6190311131</v>
      </c>
      <c r="C18" s="12">
        <v>285.64999999999998</v>
      </c>
      <c r="D18" s="12">
        <v>450342.24027083244</v>
      </c>
      <c r="E18" s="12">
        <v>2.09</v>
      </c>
      <c r="F18" s="12">
        <v>2.7</v>
      </c>
      <c r="G18" s="12">
        <v>3.81</v>
      </c>
      <c r="H18" s="12">
        <v>1005731.2400629433</v>
      </c>
      <c r="I18" s="12">
        <v>312.75</v>
      </c>
      <c r="J18" s="13">
        <v>0.1172</v>
      </c>
      <c r="K18" s="19"/>
    </row>
    <row r="19" spans="1:11" x14ac:dyDescent="0.3">
      <c r="A19" s="11">
        <v>358.15</v>
      </c>
      <c r="B19" s="12">
        <v>2925832.6190311131</v>
      </c>
      <c r="C19" s="12">
        <v>288.14999999999998</v>
      </c>
      <c r="D19" s="12">
        <v>488373.86439130764</v>
      </c>
      <c r="E19" s="12">
        <v>2.09</v>
      </c>
      <c r="F19" s="12">
        <v>2.7</v>
      </c>
      <c r="G19" s="12">
        <v>3.81</v>
      </c>
      <c r="H19" s="12">
        <v>1035812.6472729258</v>
      </c>
      <c r="I19" s="12">
        <v>313.84999999999997</v>
      </c>
      <c r="J19" s="13">
        <v>0.1532</v>
      </c>
      <c r="K19" s="19"/>
    </row>
    <row r="20" spans="1:11" x14ac:dyDescent="0.3">
      <c r="A20" s="11">
        <v>348.15</v>
      </c>
      <c r="B20" s="12">
        <v>2364119.9904466528</v>
      </c>
      <c r="C20" s="12">
        <v>283.14999999999998</v>
      </c>
      <c r="D20" s="12">
        <v>414607.46736265969</v>
      </c>
      <c r="E20" s="12">
        <v>2.09</v>
      </c>
      <c r="F20" s="12">
        <v>2.7</v>
      </c>
      <c r="G20" s="12">
        <v>4.16</v>
      </c>
      <c r="H20" s="12">
        <v>799374.75699936296</v>
      </c>
      <c r="I20" s="12">
        <v>304.45</v>
      </c>
      <c r="J20" s="13">
        <v>0.32479999999999998</v>
      </c>
      <c r="K20" s="19"/>
    </row>
    <row r="21" spans="1:11" x14ac:dyDescent="0.3">
      <c r="A21" s="11">
        <v>348.15</v>
      </c>
      <c r="B21" s="12">
        <v>2364119.9904466528</v>
      </c>
      <c r="C21" s="12">
        <v>285.64999999999998</v>
      </c>
      <c r="D21" s="12">
        <v>450342.24027083244</v>
      </c>
      <c r="E21" s="12">
        <v>2.09</v>
      </c>
      <c r="F21" s="12">
        <v>2.7</v>
      </c>
      <c r="G21" s="12">
        <v>4.16</v>
      </c>
      <c r="H21" s="12">
        <v>808517.79172052362</v>
      </c>
      <c r="I21" s="12">
        <v>304.84999999999997</v>
      </c>
      <c r="J21" s="13">
        <v>0.37440000000000001</v>
      </c>
      <c r="K21" s="19"/>
    </row>
    <row r="22" spans="1:11" x14ac:dyDescent="0.3">
      <c r="A22" s="11">
        <v>348.15</v>
      </c>
      <c r="B22" s="12">
        <v>2364119.9904466528</v>
      </c>
      <c r="C22" s="12">
        <v>288.14999999999998</v>
      </c>
      <c r="D22" s="12">
        <v>488373.86439130764</v>
      </c>
      <c r="E22" s="12">
        <v>2.09</v>
      </c>
      <c r="F22" s="12">
        <v>2.7</v>
      </c>
      <c r="G22" s="12">
        <v>4.16</v>
      </c>
      <c r="H22" s="12">
        <v>813118.69365825574</v>
      </c>
      <c r="I22" s="12">
        <v>305.04999999999995</v>
      </c>
      <c r="J22" s="13">
        <v>0.4446</v>
      </c>
      <c r="K22" s="19"/>
    </row>
    <row r="23" spans="1:11" x14ac:dyDescent="0.3">
      <c r="A23" s="11">
        <v>353.15</v>
      </c>
      <c r="B23" s="12">
        <v>2633203.3284409828</v>
      </c>
      <c r="C23" s="12">
        <v>283.14999999999998</v>
      </c>
      <c r="D23" s="12">
        <v>414607.46736265969</v>
      </c>
      <c r="E23" s="12">
        <v>2.09</v>
      </c>
      <c r="F23" s="12">
        <v>2.7</v>
      </c>
      <c r="G23" s="12">
        <v>4.16</v>
      </c>
      <c r="H23" s="12">
        <v>865038.41060934239</v>
      </c>
      <c r="I23" s="12">
        <v>307.25</v>
      </c>
      <c r="J23" s="13">
        <v>0.26350000000000001</v>
      </c>
      <c r="K23" s="19"/>
    </row>
    <row r="24" spans="1:11" x14ac:dyDescent="0.3">
      <c r="A24" s="11">
        <v>353.15</v>
      </c>
      <c r="B24" s="12">
        <v>2633203.3284409828</v>
      </c>
      <c r="C24" s="12">
        <v>285.64999999999998</v>
      </c>
      <c r="D24" s="12">
        <v>450342.24027083244</v>
      </c>
      <c r="E24" s="12">
        <v>2.09</v>
      </c>
      <c r="F24" s="12">
        <v>2.7</v>
      </c>
      <c r="G24" s="12">
        <v>4.16</v>
      </c>
      <c r="H24" s="12">
        <v>882069.126612794</v>
      </c>
      <c r="I24" s="12">
        <v>307.95</v>
      </c>
      <c r="J24" s="13">
        <v>0.31769999999999998</v>
      </c>
      <c r="K24" s="19"/>
    </row>
    <row r="25" spans="1:11" x14ac:dyDescent="0.3">
      <c r="A25" s="11">
        <v>353.15</v>
      </c>
      <c r="B25" s="12">
        <v>2633203.3284409828</v>
      </c>
      <c r="C25" s="12">
        <v>288.14999999999998</v>
      </c>
      <c r="D25" s="12">
        <v>488373.86439130764</v>
      </c>
      <c r="E25" s="12">
        <v>2.09</v>
      </c>
      <c r="F25" s="12">
        <v>2.7</v>
      </c>
      <c r="G25" s="12">
        <v>4.16</v>
      </c>
      <c r="H25" s="12">
        <v>884522.4936922004</v>
      </c>
      <c r="I25" s="12">
        <v>308.04999999999995</v>
      </c>
      <c r="J25" s="13">
        <v>0.35460000000000003</v>
      </c>
      <c r="K25" s="19"/>
    </row>
    <row r="26" spans="1:11" x14ac:dyDescent="0.3">
      <c r="A26" s="11">
        <v>358.15</v>
      </c>
      <c r="B26" s="12">
        <v>2925832.6190311131</v>
      </c>
      <c r="C26" s="12">
        <v>283.14999999999998</v>
      </c>
      <c r="D26" s="12">
        <v>414607.46736265969</v>
      </c>
      <c r="E26" s="12">
        <v>2.09</v>
      </c>
      <c r="F26" s="12">
        <v>2.7</v>
      </c>
      <c r="G26" s="12">
        <v>4.16</v>
      </c>
      <c r="H26" s="12">
        <v>944956.29573282355</v>
      </c>
      <c r="I26" s="12">
        <v>310.45</v>
      </c>
      <c r="J26" s="13">
        <v>0.20599999999999999</v>
      </c>
      <c r="K26" s="19"/>
    </row>
    <row r="27" spans="1:11" x14ac:dyDescent="0.3">
      <c r="A27" s="11">
        <v>358.15</v>
      </c>
      <c r="B27" s="12">
        <v>2925832.6190311131</v>
      </c>
      <c r="C27" s="12">
        <v>285.64999999999998</v>
      </c>
      <c r="D27" s="12">
        <v>450342.24027083244</v>
      </c>
      <c r="E27" s="12">
        <v>2.09</v>
      </c>
      <c r="F27" s="12">
        <v>2.7</v>
      </c>
      <c r="G27" s="12">
        <v>4.16</v>
      </c>
      <c r="H27" s="12">
        <v>965773.44768480002</v>
      </c>
      <c r="I27" s="12">
        <v>311.25</v>
      </c>
      <c r="J27" s="13">
        <v>0.23810000000000001</v>
      </c>
      <c r="K27" s="19"/>
    </row>
    <row r="28" spans="1:11" x14ac:dyDescent="0.3">
      <c r="A28" s="11">
        <v>358.15</v>
      </c>
      <c r="B28" s="12">
        <v>2925832.6190311131</v>
      </c>
      <c r="C28" s="12">
        <v>288.14999999999998</v>
      </c>
      <c r="D28" s="12">
        <v>488373.86439130764</v>
      </c>
      <c r="E28" s="12">
        <v>2.09</v>
      </c>
      <c r="F28" s="12">
        <v>2.7</v>
      </c>
      <c r="G28" s="12">
        <v>4.16</v>
      </c>
      <c r="H28" s="12">
        <v>965773.44768480002</v>
      </c>
      <c r="I28" s="12">
        <v>311.25</v>
      </c>
      <c r="J28" s="13">
        <v>0.2782</v>
      </c>
      <c r="K28" s="19"/>
    </row>
    <row r="29" spans="1:11" x14ac:dyDescent="0.3">
      <c r="A29" s="11">
        <v>358.15</v>
      </c>
      <c r="B29" s="12">
        <v>2925832.6190311131</v>
      </c>
      <c r="C29" s="12">
        <v>278.14999999999998</v>
      </c>
      <c r="D29" s="12">
        <v>349658.60786131379</v>
      </c>
      <c r="E29" s="12">
        <v>2.5</v>
      </c>
      <c r="F29" s="12">
        <v>3.3</v>
      </c>
      <c r="G29" s="12">
        <v>5.6</v>
      </c>
      <c r="H29" s="12">
        <v>741826.81730192294</v>
      </c>
      <c r="I29" s="12">
        <v>301.84999999999997</v>
      </c>
      <c r="J29" s="13">
        <v>0.1938</v>
      </c>
      <c r="K29" s="19"/>
    </row>
    <row r="30" spans="1:11" x14ac:dyDescent="0.3">
      <c r="A30" s="11">
        <v>358.15</v>
      </c>
      <c r="B30" s="12">
        <v>2925832.6190311131</v>
      </c>
      <c r="C30" s="12">
        <v>280.64999999999998</v>
      </c>
      <c r="D30" s="12">
        <v>381076.68906170921</v>
      </c>
      <c r="E30" s="12">
        <v>2.5</v>
      </c>
      <c r="F30" s="12">
        <v>3.3</v>
      </c>
      <c r="G30" s="12">
        <v>5.6</v>
      </c>
      <c r="H30" s="12">
        <v>761381.755041308</v>
      </c>
      <c r="I30" s="12">
        <v>302.75</v>
      </c>
      <c r="J30" s="13">
        <v>0.25659999999999999</v>
      </c>
      <c r="K30" s="19"/>
    </row>
    <row r="31" spans="1:11" x14ac:dyDescent="0.3">
      <c r="A31" s="11">
        <v>358.15</v>
      </c>
      <c r="B31" s="12">
        <v>2925832.6190311131</v>
      </c>
      <c r="C31" s="12">
        <v>283.14999999999998</v>
      </c>
      <c r="D31" s="12">
        <v>414607.46736265969</v>
      </c>
      <c r="E31" s="12">
        <v>2.5</v>
      </c>
      <c r="F31" s="12">
        <v>3.3</v>
      </c>
      <c r="G31" s="12">
        <v>5.6</v>
      </c>
      <c r="H31" s="12">
        <v>785806.31108858087</v>
      </c>
      <c r="I31" s="12">
        <v>303.84999999999997</v>
      </c>
      <c r="J31" s="13">
        <v>0.2893</v>
      </c>
      <c r="K31" s="19"/>
    </row>
    <row r="32" spans="1:11" x14ac:dyDescent="0.3">
      <c r="A32" s="15">
        <v>358.15</v>
      </c>
      <c r="B32" s="16">
        <v>2925832.6190311131</v>
      </c>
      <c r="C32" s="16">
        <v>285.64999999999998</v>
      </c>
      <c r="D32" s="16">
        <v>450342.24027083244</v>
      </c>
      <c r="E32" s="16">
        <v>2.5</v>
      </c>
      <c r="F32" s="16">
        <v>3.3</v>
      </c>
      <c r="G32" s="16">
        <v>5.6</v>
      </c>
      <c r="H32" s="16">
        <v>808517.79172052362</v>
      </c>
      <c r="I32" s="16">
        <v>304.84999999999997</v>
      </c>
      <c r="J32" s="17">
        <v>0.33850000000000002</v>
      </c>
      <c r="K32" s="20"/>
    </row>
    <row r="36" spans="5:7" x14ac:dyDescent="0.3">
      <c r="E36" s="2"/>
      <c r="F36" s="2"/>
      <c r="G36" s="2"/>
    </row>
  </sheetData>
  <hyperlinks>
    <hyperlink ref="K10" r:id="rId1" xr:uid="{8D50EDC7-8CF0-4445-8944-9A5F24E274CA}"/>
    <hyperlink ref="K3" r:id="rId2" xr:uid="{1A997E8B-1C54-4097-A23F-A40A26997132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2F8AF-0287-4B1D-9CD6-E31DFA994663}">
  <dimension ref="A1:M15"/>
  <sheetViews>
    <sheetView zoomScaleNormal="100" workbookViewId="0">
      <selection activeCell="J18" sqref="J18"/>
    </sheetView>
  </sheetViews>
  <sheetFormatPr defaultRowHeight="14.4" x14ac:dyDescent="0.3"/>
  <cols>
    <col min="13" max="13" width="77.88671875" bestFit="1" customWidth="1"/>
  </cols>
  <sheetData>
    <row r="1" spans="1:13" x14ac:dyDescent="0.3">
      <c r="A1" s="22" t="s">
        <v>7</v>
      </c>
      <c r="B1" s="22" t="s">
        <v>8</v>
      </c>
      <c r="C1" s="22" t="s">
        <v>5</v>
      </c>
      <c r="D1" s="22" t="s">
        <v>6</v>
      </c>
      <c r="E1" s="22" t="s">
        <v>0</v>
      </c>
      <c r="F1" s="22" t="s">
        <v>1</v>
      </c>
      <c r="G1" s="22" t="s">
        <v>2</v>
      </c>
      <c r="H1" s="22" t="s">
        <v>9</v>
      </c>
      <c r="I1" s="22" t="s">
        <v>10</v>
      </c>
      <c r="J1" s="22" t="s">
        <v>11</v>
      </c>
      <c r="K1" s="22" t="s">
        <v>15</v>
      </c>
      <c r="L1" s="22" t="s">
        <v>16</v>
      </c>
      <c r="M1" s="6" t="s">
        <v>18</v>
      </c>
    </row>
    <row r="2" spans="1:13" x14ac:dyDescent="0.3">
      <c r="A2" s="7">
        <v>343.15</v>
      </c>
      <c r="B2" s="8" cm="1">
        <f t="array" ref="B2">[1]!PropsSI("P","T",A2,"Q",1,"R1234ze(E)")</f>
        <v>1610968.1790109717</v>
      </c>
      <c r="C2" s="8">
        <v>287.14999999999998</v>
      </c>
      <c r="D2" s="8" cm="1">
        <f t="array" ref="D2">[1]!PropsSI("P","T",C2,"Q",1,"R1234ze(E)")</f>
        <v>352427.49085791199</v>
      </c>
      <c r="E2" s="8">
        <v>4.13</v>
      </c>
      <c r="F2" s="8">
        <v>5.22</v>
      </c>
      <c r="G2" s="8">
        <v>10</v>
      </c>
      <c r="H2" s="8">
        <v>554925.37313432829</v>
      </c>
      <c r="I2" s="8" cm="1">
        <f t="array" ref="I2">[1]!PropsSI("T","P",H2,"Q",1,"R1234ze(E)")</f>
        <v>301.74091751351563</v>
      </c>
      <c r="J2" s="8">
        <f>'[2]R1234ze(E) - gráfico'!H2</f>
        <v>0.84554455445544563</v>
      </c>
      <c r="K2" s="8">
        <f>(G2/E2)^2</f>
        <v>5.8627300388699002</v>
      </c>
      <c r="L2" s="9">
        <f>D2/B2</f>
        <v>0.21876750605606576</v>
      </c>
      <c r="M2" s="23" t="s">
        <v>21</v>
      </c>
    </row>
    <row r="3" spans="1:13" x14ac:dyDescent="0.3">
      <c r="A3" s="11">
        <v>343.15</v>
      </c>
      <c r="B3" s="12" cm="1">
        <f t="array" ref="B3">[1]!PropsSI("P","T",A3,"Q",1,"R1234ze(E)")</f>
        <v>1610968.1790109717</v>
      </c>
      <c r="C3" s="12">
        <v>283.14999999999998</v>
      </c>
      <c r="D3" s="12" cm="1">
        <f t="array" ref="D3">[1]!PropsSI("P","T",C3,"Q",1,"R1234ze(E)")</f>
        <v>308356.90000567696</v>
      </c>
      <c r="E3" s="12">
        <v>4.13</v>
      </c>
      <c r="F3" s="12">
        <v>5.22</v>
      </c>
      <c r="G3" s="12">
        <v>10</v>
      </c>
      <c r="H3" s="12">
        <v>529651.74129353242</v>
      </c>
      <c r="I3" s="12" cm="1">
        <f t="array" ref="I3">[1]!PropsSI("T","P",H3,"Q",1,"R1234ze(E)")</f>
        <v>300.16772552641595</v>
      </c>
      <c r="J3" s="12">
        <f>'[2]R1234ze(E) - gráfico'!H3</f>
        <v>0.70207920792079204</v>
      </c>
      <c r="K3" s="12">
        <f t="shared" ref="K3:K13" si="0">(G3/E3)^2</f>
        <v>5.8627300388699002</v>
      </c>
      <c r="L3" s="13">
        <f t="shared" ref="L3:L13" si="1">D3/B3</f>
        <v>0.19141091923677089</v>
      </c>
      <c r="M3" s="21" t="s">
        <v>22</v>
      </c>
    </row>
    <row r="4" spans="1:13" x14ac:dyDescent="0.3">
      <c r="A4" s="11">
        <v>343.15</v>
      </c>
      <c r="B4" s="12" cm="1">
        <f t="array" ref="B4">[1]!PropsSI("P","T",A4,"Q",1,"R1234ze(E)")</f>
        <v>1610968.1790109717</v>
      </c>
      <c r="C4" s="12">
        <v>279.14999999999998</v>
      </c>
      <c r="D4" s="12" cm="1">
        <f t="array" ref="D4">[1]!PropsSI("P","T",C4,"Q",1,"R1234ze(E)")</f>
        <v>268631.39094641735</v>
      </c>
      <c r="E4" s="12">
        <v>4.13</v>
      </c>
      <c r="F4" s="12">
        <v>5.22</v>
      </c>
      <c r="G4" s="12">
        <v>10</v>
      </c>
      <c r="H4" s="12">
        <v>504776.11940298509</v>
      </c>
      <c r="I4" s="12" cm="1">
        <f t="array" ref="I4">[1]!PropsSI("T","P",H4,"Q",1,"R1234ze(E)")</f>
        <v>298.56289590974978</v>
      </c>
      <c r="J4" s="12">
        <f>'[2]R1234ze(E) - gráfico'!H4</f>
        <v>0.55980198019801986</v>
      </c>
      <c r="K4" s="12">
        <f t="shared" si="0"/>
        <v>5.8627300388699002</v>
      </c>
      <c r="L4" s="13">
        <f t="shared" si="1"/>
        <v>0.16675151902214438</v>
      </c>
      <c r="M4" s="14"/>
    </row>
    <row r="5" spans="1:13" x14ac:dyDescent="0.3">
      <c r="A5" s="11">
        <v>353.15</v>
      </c>
      <c r="B5" s="12" cm="1">
        <f t="array" ref="B5">[1]!PropsSI("P","T",A5,"Q",1,"R1234ze(E)")</f>
        <v>2007722.0577384278</v>
      </c>
      <c r="C5" s="12">
        <v>279.14999999999998</v>
      </c>
      <c r="D5" s="12" cm="1">
        <f t="array" ref="D5">[1]!PropsSI("P","T",C5,"Q",1,"R1234ze(E)")</f>
        <v>268631.39094641735</v>
      </c>
      <c r="E5" s="12">
        <v>4.13</v>
      </c>
      <c r="F5" s="12">
        <v>5.22</v>
      </c>
      <c r="G5" s="12">
        <v>10</v>
      </c>
      <c r="H5" s="12">
        <v>587290.64039408858</v>
      </c>
      <c r="I5" s="12" cm="1">
        <f t="array" ref="I5">[1]!PropsSI("T","P",H5,"Q",1,"R1234ze(E)")</f>
        <v>303.67841120355598</v>
      </c>
      <c r="J5" s="12">
        <f>'[2]R1234ze(E) - gráfico'!H5</f>
        <v>0.35148514851485146</v>
      </c>
      <c r="K5" s="12">
        <f t="shared" si="0"/>
        <v>5.8627300388699002</v>
      </c>
      <c r="L5" s="13">
        <f t="shared" si="1"/>
        <v>0.13379909331125925</v>
      </c>
      <c r="M5" s="14"/>
    </row>
    <row r="6" spans="1:13" x14ac:dyDescent="0.3">
      <c r="A6" s="11">
        <v>360.15</v>
      </c>
      <c r="B6" s="12" cm="1">
        <f t="array" ref="B6">[1]!PropsSI("P","T",A6,"Q",1,"R1234ze(E)")</f>
        <v>2327121.6168908589</v>
      </c>
      <c r="C6" s="12">
        <v>279.14999999999998</v>
      </c>
      <c r="D6" s="12" cm="1">
        <f t="array" ref="D6">[1]!PropsSI("P","T",C6,"Q",1,"R1234ze(E)")</f>
        <v>268631.39094641735</v>
      </c>
      <c r="E6" s="12">
        <v>4.13</v>
      </c>
      <c r="F6" s="12">
        <v>5.22</v>
      </c>
      <c r="G6" s="12">
        <v>10</v>
      </c>
      <c r="H6" s="12">
        <v>654187.19211822655</v>
      </c>
      <c r="I6" s="12" cm="1">
        <f t="array" ref="I6">[1]!PropsSI("T","P",H6,"Q",1,"R1234ze(E)")</f>
        <v>307.44091797775178</v>
      </c>
      <c r="J6" s="12">
        <f>'[2]R1234ze(E) - gráfico'!H6</f>
        <v>0.23910891089108913</v>
      </c>
      <c r="K6" s="12">
        <f t="shared" si="0"/>
        <v>5.8627300388699002</v>
      </c>
      <c r="L6" s="13">
        <f t="shared" si="1"/>
        <v>0.11543504602278638</v>
      </c>
      <c r="M6" s="14"/>
    </row>
    <row r="7" spans="1:13" x14ac:dyDescent="0.3">
      <c r="A7" s="11">
        <v>353.15</v>
      </c>
      <c r="B7" s="12" cm="1">
        <f t="array" ref="B7">[1]!PropsSI("P","T",A7,"Q",1,"R1234ze(E)")</f>
        <v>2007722.0577384278</v>
      </c>
      <c r="C7" s="12">
        <v>283.14999999999998</v>
      </c>
      <c r="D7" s="12" cm="1">
        <f t="array" ref="D7">[1]!PropsSI("P","T",C7,"Q",1,"R1234ze(E)")</f>
        <v>308356.90000567696</v>
      </c>
      <c r="E7" s="12">
        <v>4.13</v>
      </c>
      <c r="F7" s="12">
        <v>5.22</v>
      </c>
      <c r="G7" s="12">
        <v>10</v>
      </c>
      <c r="H7" s="12">
        <v>612089.55223880592</v>
      </c>
      <c r="I7" s="12" cm="1">
        <f t="array" ref="I7">[1]!PropsSI("T","P",H7,"Q",1,"R1234ze(E)")</f>
        <v>305.10914766580919</v>
      </c>
      <c r="J7" s="12">
        <f>'[2]R1234ze(E) - gráfico'!H7</f>
        <v>0.46761904761904766</v>
      </c>
      <c r="K7" s="12">
        <f t="shared" si="0"/>
        <v>5.8627300388699002</v>
      </c>
      <c r="L7" s="13">
        <f t="shared" si="1"/>
        <v>0.15358545213824146</v>
      </c>
      <c r="M7" s="14"/>
    </row>
    <row r="8" spans="1:13" x14ac:dyDescent="0.3">
      <c r="A8" s="11">
        <v>353.15</v>
      </c>
      <c r="B8" s="12" cm="1">
        <f t="array" ref="B8">[1]!PropsSI("P","T",A8,"Q",1,"R1234ze(E)")</f>
        <v>2007722.0577384278</v>
      </c>
      <c r="C8" s="12">
        <v>287.14999999999998</v>
      </c>
      <c r="D8" s="12" cm="1">
        <f t="array" ref="D8">[1]!PropsSI("P","T",C8,"Q",1,"R1234ze(E)")</f>
        <v>352427.49085791199</v>
      </c>
      <c r="E8" s="12">
        <v>4.13</v>
      </c>
      <c r="F8" s="12">
        <v>5.22</v>
      </c>
      <c r="G8" s="12">
        <v>10</v>
      </c>
      <c r="H8" s="12">
        <v>640099.50248756213</v>
      </c>
      <c r="I8" s="12" cm="1">
        <f t="array" ref="I8">[1]!PropsSI("T","P",H8,"Q",1,"R1234ze(E)")</f>
        <v>306.67352797916101</v>
      </c>
      <c r="J8" s="12">
        <f>'[2]R1234ze(E) - gráfico'!H8</f>
        <v>0.59504761904761927</v>
      </c>
      <c r="K8" s="12">
        <f t="shared" si="0"/>
        <v>5.8627300388699002</v>
      </c>
      <c r="L8" s="13">
        <f t="shared" si="1"/>
        <v>0.17553599588127219</v>
      </c>
      <c r="M8" s="14"/>
    </row>
    <row r="9" spans="1:13" x14ac:dyDescent="0.3">
      <c r="A9" s="11">
        <v>360.15</v>
      </c>
      <c r="B9" s="12" cm="1">
        <f t="array" ref="B9">[1]!PropsSI("P","T",A9,"Q",1,"R1234ze(E)")</f>
        <v>2327121.6168908589</v>
      </c>
      <c r="C9" s="12">
        <v>283.14999999999998</v>
      </c>
      <c r="D9" s="12" cm="1">
        <f t="array" ref="D9">[1]!PropsSI("P","T",C9,"Q",1,"R1234ze(E)")</f>
        <v>308356.90000567696</v>
      </c>
      <c r="E9" s="12">
        <v>4.13</v>
      </c>
      <c r="F9" s="12">
        <v>5.22</v>
      </c>
      <c r="G9" s="12">
        <v>10</v>
      </c>
      <c r="H9" s="12">
        <v>679059.40594059392</v>
      </c>
      <c r="I9" s="12" cm="1">
        <f t="array" ref="I9">[1]!PropsSI("T","P",H9,"Q",1,"R1234ze(E)")</f>
        <v>308.76591877318168</v>
      </c>
      <c r="J9" s="12">
        <f>'[2]R1234ze(E) - gráfico'!H9</f>
        <v>0.33461538461538465</v>
      </c>
      <c r="K9" s="12">
        <f t="shared" si="0"/>
        <v>5.8627300388699002</v>
      </c>
      <c r="L9" s="13">
        <f t="shared" si="1"/>
        <v>0.13250570909897519</v>
      </c>
      <c r="M9" s="14"/>
    </row>
    <row r="10" spans="1:13" x14ac:dyDescent="0.3">
      <c r="A10" s="15">
        <v>360.15</v>
      </c>
      <c r="B10" s="16" cm="1">
        <f t="array" ref="B10">[1]!PropsSI("P","T",A10,"Q",1,"R1234ze(E)")</f>
        <v>2327121.6168908589</v>
      </c>
      <c r="C10" s="16">
        <v>287.14999999999998</v>
      </c>
      <c r="D10" s="16" cm="1">
        <f t="array" ref="D10">[1]!PropsSI("P","T",C10,"Q",1,"R1234ze(E)")</f>
        <v>352427.49085791199</v>
      </c>
      <c r="E10" s="16">
        <v>4.13</v>
      </c>
      <c r="F10" s="16">
        <v>5.22</v>
      </c>
      <c r="G10" s="16">
        <v>10</v>
      </c>
      <c r="H10" s="16">
        <v>707142.85714285716</v>
      </c>
      <c r="I10" s="16" cm="1">
        <f t="array" ref="I10">[1]!PropsSI("T","P",H10,"Q",1,"R1234ze(E)")</f>
        <v>310.21879725547564</v>
      </c>
      <c r="J10" s="16">
        <f>'[2]R1234ze(E) - gráfico'!H10</f>
        <v>0.44183673469387758</v>
      </c>
      <c r="K10" s="16">
        <f t="shared" si="0"/>
        <v>5.8627300388699002</v>
      </c>
      <c r="L10" s="17">
        <f t="shared" si="1"/>
        <v>0.15144352074249187</v>
      </c>
      <c r="M10" s="18"/>
    </row>
    <row r="11" spans="1:13" x14ac:dyDescent="0.3">
      <c r="A11" s="7">
        <v>362.5</v>
      </c>
      <c r="B11" s="8" cm="1">
        <f t="array" ref="B11">[1]!PropsSI("P","T",A11-10,"Q",1,"R1234ze(E)")</f>
        <v>1979877.9374228755</v>
      </c>
      <c r="C11" s="8">
        <v>293.88</v>
      </c>
      <c r="D11" s="8" cm="1">
        <f t="array" ref="D11">[1]!PropsSI("P","T",C11-10,"Q",1,"R1234ze(E)")</f>
        <v>316066.8830294488</v>
      </c>
      <c r="E11" s="8">
        <v>2</v>
      </c>
      <c r="F11" s="8">
        <v>3</v>
      </c>
      <c r="G11" s="8">
        <v>4.8</v>
      </c>
      <c r="H11" s="8">
        <v>577200</v>
      </c>
      <c r="I11" s="8" cm="1">
        <f t="array" ref="I11">[1]!PropsSI("T","P",H11,"Q",1,"R1234ze(E)")</f>
        <v>303.0831867196801</v>
      </c>
      <c r="J11" s="8">
        <f>'[2]R1234ze(E) - gráfico'!H11</f>
        <v>0.52010000000000001</v>
      </c>
      <c r="K11" s="8">
        <f t="shared" si="0"/>
        <v>5.76</v>
      </c>
      <c r="L11" s="9">
        <f t="shared" si="1"/>
        <v>0.1596395803272902</v>
      </c>
      <c r="M11" s="10" t="s">
        <v>12</v>
      </c>
    </row>
    <row r="12" spans="1:13" x14ac:dyDescent="0.3">
      <c r="A12" s="11">
        <v>367.5</v>
      </c>
      <c r="B12" s="12" cm="1">
        <f t="array" ref="B12">[1]!PropsSI("P","T",A12-10,"Q",1,"R1234ze(E)")</f>
        <v>2201900.3242312456</v>
      </c>
      <c r="C12" s="12">
        <v>293.89999999999998</v>
      </c>
      <c r="D12" s="12" cm="1">
        <f t="array" ref="D12">[1]!PropsSI("P","T",C12-10,"Q",1,"R1234ze(E)")</f>
        <v>316280.16912756162</v>
      </c>
      <c r="E12" s="12">
        <v>2</v>
      </c>
      <c r="F12" s="12">
        <v>3</v>
      </c>
      <c r="G12" s="12">
        <v>4.8</v>
      </c>
      <c r="H12" s="12">
        <v>630500</v>
      </c>
      <c r="I12" s="12" cm="1">
        <f t="array" ref="I12">[1]!PropsSI("T","P",H12,"Q",1,"R1234ze(E)")</f>
        <v>306.14330237924901</v>
      </c>
      <c r="J12" s="12">
        <f>'[2]R1234ze(E) - gráfico'!H12</f>
        <v>0.44419999999999998</v>
      </c>
      <c r="K12" s="12">
        <f t="shared" si="0"/>
        <v>5.76</v>
      </c>
      <c r="L12" s="13">
        <f t="shared" si="1"/>
        <v>0.14363963965443588</v>
      </c>
      <c r="M12" s="21" t="s">
        <v>23</v>
      </c>
    </row>
    <row r="13" spans="1:13" x14ac:dyDescent="0.3">
      <c r="A13" s="11">
        <v>372.29999999999995</v>
      </c>
      <c r="B13" s="12" cm="1">
        <f t="array" ref="B13">[1]!PropsSI("P","T",A13-10,"Q",1,"R1234ze(E)")</f>
        <v>2432747.2901996719</v>
      </c>
      <c r="C13" s="12">
        <v>293.90999999999997</v>
      </c>
      <c r="D13" s="12" cm="1">
        <f t="array" ref="D13">[1]!PropsSI("P","T",C13-10,"Q",1,"R1234ze(E)")</f>
        <v>316386.85342791805</v>
      </c>
      <c r="E13" s="12">
        <v>2</v>
      </c>
      <c r="F13" s="12">
        <v>3</v>
      </c>
      <c r="G13" s="12">
        <v>4.8</v>
      </c>
      <c r="H13" s="12">
        <v>684500</v>
      </c>
      <c r="I13" s="12" cm="1">
        <f t="array" ref="I13">[1]!PropsSI("T","P",H13,"Q",1,"R1234ze(E)")</f>
        <v>309.05086857944082</v>
      </c>
      <c r="J13" s="12">
        <f>'[2]R1234ze(E) - gráfico'!H13</f>
        <v>0.39069999999999999</v>
      </c>
      <c r="K13" s="12">
        <f t="shared" si="0"/>
        <v>5.76</v>
      </c>
      <c r="L13" s="13">
        <f t="shared" si="1"/>
        <v>0.13005331655387439</v>
      </c>
      <c r="M13" s="18"/>
    </row>
    <row r="14" spans="1:13" x14ac:dyDescent="0.3">
      <c r="A14" s="7">
        <v>336.84999999999997</v>
      </c>
      <c r="B14" s="8">
        <v>1179000</v>
      </c>
      <c r="C14" s="8">
        <v>281.54999999999995</v>
      </c>
      <c r="D14" s="8">
        <v>218000</v>
      </c>
      <c r="E14" s="8">
        <v>11</v>
      </c>
      <c r="F14" s="8">
        <v>15.5</v>
      </c>
      <c r="G14" s="8">
        <v>21</v>
      </c>
      <c r="H14" s="8">
        <v>539835</v>
      </c>
      <c r="I14" s="8" cm="1">
        <f t="array" ref="I14">[1]!PropsSI("T","P",H14,"Q",1,"R1234ze(E)")</f>
        <v>300.8082768567192</v>
      </c>
      <c r="J14" s="8">
        <f>'[2]R1234ze(E) - Dados Brutos'!E33</f>
        <v>0.24</v>
      </c>
      <c r="K14" s="8">
        <f>(G14/E14)^2</f>
        <v>3.6446280991735542</v>
      </c>
      <c r="L14" s="9">
        <f>D14/B14</f>
        <v>0.18490245971162</v>
      </c>
      <c r="M14" s="10" t="s">
        <v>17</v>
      </c>
    </row>
    <row r="15" spans="1:13" x14ac:dyDescent="0.3">
      <c r="A15" s="15">
        <v>337.84999999999997</v>
      </c>
      <c r="B15" s="16">
        <v>1160000</v>
      </c>
      <c r="C15" s="16">
        <v>284.14999999999998</v>
      </c>
      <c r="D15" s="16">
        <v>272000</v>
      </c>
      <c r="E15" s="16">
        <v>11</v>
      </c>
      <c r="F15" s="16">
        <v>15.5</v>
      </c>
      <c r="G15" s="16">
        <v>21</v>
      </c>
      <c r="H15" s="16">
        <v>524912</v>
      </c>
      <c r="I15" s="16" cm="1">
        <f t="array" ref="I15">[1]!PropsSI("T","P",H15,"Q",1,"R1234ze(E)")</f>
        <v>299.86640658160343</v>
      </c>
      <c r="J15" s="16">
        <f>'[2]R1234ze(E) - Dados Brutos'!E34</f>
        <v>0.40799999999999997</v>
      </c>
      <c r="K15" s="16">
        <f t="shared" ref="K15" si="2">(G15/E15)^2</f>
        <v>3.6446280991735542</v>
      </c>
      <c r="L15" s="17">
        <f t="shared" ref="L15" si="3">D15/B15</f>
        <v>0.23448275862068965</v>
      </c>
      <c r="M15" s="24" t="s">
        <v>24</v>
      </c>
    </row>
  </sheetData>
  <hyperlinks>
    <hyperlink ref="M3" r:id="rId1" xr:uid="{B92C2DDF-4048-4A48-9B59-E4263ED1CDAB}"/>
    <hyperlink ref="M12" r:id="rId2" xr:uid="{D26F80C2-945B-40F7-AC98-879922CB25DD}"/>
    <hyperlink ref="M15" r:id="rId3" xr:uid="{33DAA019-E4BE-4219-910F-A26EEDBEF6C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R141b</vt:lpstr>
      <vt:lpstr>R134a</vt:lpstr>
      <vt:lpstr>R1234ze(E)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Pereira</dc:creator>
  <cp:lastModifiedBy>Guilherme Pereira</cp:lastModifiedBy>
  <dcterms:created xsi:type="dcterms:W3CDTF">2026-06-09T21:22:42Z</dcterms:created>
  <dcterms:modified xsi:type="dcterms:W3CDTF">2026-09-18T22:06:18Z</dcterms:modified>
</cp:coreProperties>
</file>